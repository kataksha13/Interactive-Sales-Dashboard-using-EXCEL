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atak\OneDrive\Desktop\"/>
    </mc:Choice>
  </mc:AlternateContent>
  <bookViews>
    <workbookView xWindow="-105" yWindow="-105" windowWidth="30930" windowHeight="16770" firstSheet="4" activeTab="9"/>
  </bookViews>
  <sheets>
    <sheet name="Sheet1" sheetId="5" r:id="rId1"/>
    <sheet name="Sheet2" sheetId="6" r:id="rId2"/>
    <sheet name="Sheet3" sheetId="7" r:id="rId3"/>
    <sheet name="Sheet4" sheetId="8" r:id="rId4"/>
    <sheet name="Sheet5" sheetId="9" r:id="rId5"/>
    <sheet name="Sheet6" sheetId="10" r:id="rId6"/>
    <sheet name="Sheet7" sheetId="13" r:id="rId7"/>
    <sheet name="Data" sheetId="1" r:id="rId8"/>
    <sheet name="Questions &amp; KPIs" sheetId="2" r:id="rId9"/>
    <sheet name="Dashboard" sheetId="3" r:id="rId10"/>
  </sheets>
  <definedNames>
    <definedName name="_xlcn.WorksheetConnection_ecommerceblank.xlsxorders" hidden="1">orders[]</definedName>
    <definedName name="Slicer_Gender_Value">#N/A</definedName>
    <definedName name="Slicer_Order_Mode">#N/A</definedName>
  </definedNames>
  <calcPr calcId="152511"/>
  <pivotCaches>
    <pivotCache cacheId="0" r:id="rId11"/>
    <pivotCache cacheId="1" r:id="rId12"/>
    <pivotCache cacheId="2" r:id="rId13"/>
    <pivotCache cacheId="3" r:id="rId14"/>
    <pivotCache cacheId="4"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76afa5e0-4b8f-403f-8105-cdb0e6c32425" name="orders" connection="WorksheetConnection_ecommerce-blank.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9" l="1"/>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4"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4" i="9"/>
  <c r="G4" i="9"/>
  <c r="H4" i="9"/>
  <c r="G5" i="9"/>
  <c r="H5" i="9"/>
  <c r="G6" i="9"/>
  <c r="H6" i="9"/>
  <c r="G7" i="9"/>
  <c r="H7" i="9"/>
  <c r="G8" i="9"/>
  <c r="H8" i="9"/>
  <c r="G9" i="9"/>
  <c r="H9" i="9"/>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G35" i="9"/>
  <c r="H35" i="9"/>
  <c r="G36" i="9"/>
  <c r="H36" i="9"/>
  <c r="G37" i="9"/>
  <c r="H37" i="9"/>
  <c r="G38" i="9"/>
  <c r="H38" i="9"/>
  <c r="G39" i="9"/>
  <c r="H39" i="9"/>
  <c r="G40" i="9"/>
  <c r="H40" i="9"/>
  <c r="G41" i="9"/>
  <c r="H41" i="9"/>
  <c r="G42" i="9"/>
  <c r="H42" i="9"/>
  <c r="G43" i="9"/>
  <c r="H43" i="9"/>
  <c r="G44" i="9"/>
  <c r="H44" i="9"/>
  <c r="G45" i="9"/>
  <c r="H45" i="9"/>
  <c r="G46" i="9"/>
  <c r="H46" i="9"/>
  <c r="G47" i="9"/>
  <c r="H47" i="9"/>
  <c r="G48" i="9"/>
  <c r="H48" i="9"/>
  <c r="G49" i="9"/>
  <c r="H49" i="9"/>
  <c r="G50" i="9"/>
  <c r="H50" i="9"/>
  <c r="G51" i="9"/>
  <c r="H51" i="9"/>
  <c r="G52" i="9"/>
  <c r="H52" i="9"/>
  <c r="G53" i="9"/>
  <c r="H53" i="9"/>
  <c r="G54" i="9"/>
  <c r="H54" i="9"/>
  <c r="G55" i="9"/>
  <c r="H55" i="9"/>
  <c r="G56" i="9"/>
  <c r="H56" i="9"/>
  <c r="G57" i="9"/>
  <c r="H57" i="9"/>
  <c r="G58" i="9"/>
  <c r="H58" i="9"/>
  <c r="G59" i="9"/>
  <c r="H59" i="9"/>
  <c r="G60" i="9"/>
  <c r="H60" i="9"/>
  <c r="G61" i="9"/>
  <c r="H61"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4" i="9"/>
  <c r="J4" i="6" l="1"/>
  <c r="K4" i="6"/>
  <c r="L4" i="6"/>
  <c r="I4" i="6"/>
  <c r="I5" i="6"/>
  <c r="J5" i="6"/>
  <c r="K5" i="6"/>
  <c r="L5" i="6"/>
  <c r="I6" i="6"/>
  <c r="J6" i="6"/>
  <c r="K6" i="6"/>
  <c r="L6" i="6"/>
  <c r="I7" i="6"/>
  <c r="J7" i="6"/>
  <c r="K7" i="6"/>
  <c r="L7" i="6"/>
  <c r="I8" i="6"/>
  <c r="J8" i="6"/>
  <c r="K8" i="6"/>
  <c r="L8" i="6"/>
  <c r="I9" i="6"/>
  <c r="J9" i="6"/>
  <c r="K9" i="6"/>
  <c r="L9" i="6"/>
  <c r="H6" i="6"/>
  <c r="H7" i="6"/>
  <c r="H8" i="6"/>
  <c r="H9" i="6"/>
  <c r="H5" i="6"/>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 r="B8" i="5"/>
  <c r="A8" i="5"/>
  <c r="C8" i="5"/>
  <c r="E8" i="5"/>
  <c r="D8" i="5"/>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commerce-blank.xlsx!orders" type="102" refreshedVersion="5" minRefreshableVersion="5">
    <extLst>
      <ext xmlns:x15="http://schemas.microsoft.com/office/spreadsheetml/2010/11/main" uri="{DE250136-89BD-433C-8126-D09CA5730AF9}">
        <x15:connection id="orders-76afa5e0-4b8f-403f-8105-cdb0e6c32425" autoDelete="1">
          <x15:rangePr sourceName="_xlcn.WorksheetConnection_ecommerceblank.xlsxorders"/>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<sst xmlns="http://schemas.openxmlformats.org/spreadsheetml/2006/main" count="14647" uniqueCount="2549">
  <si>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</si>
  <si>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</si>
  <si>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</si>
  <si>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</si>
  <si>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</si>
  <si>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</si>
  <si>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</si>
  <si>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</si>
  <si>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</si>
  <si>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</si>
  <si>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</si>
  <si>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</si>
  <si>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</si>
  <si>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</si>
  <si>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</si>
  <si>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</si>
  <si>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</si>
  <si>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</si>
  <si>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</si>
  <si>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</si>
  <si>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</si>
  <si>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</si>
  <si>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</si>
  <si>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</si>
  <si>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</si>
  <si>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</si>
  <si>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</si>
  <si>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</si>
  <si>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</si>
  <si>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</si>
  <si>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</si>
  <si>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</si>
  <si>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</si>
  <si>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</si>
  <si>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</si>
  <si>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</si>
  <si>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</si>
  <si>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</si>
  <si>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</si>
  <si>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</si>
  <si>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</si>
  <si>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</si>
  <si>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</si>
  <si>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</si>
  <si>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</si>
  <si>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</si>
  <si>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</si>
  <si>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</si>
  <si>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</si>
  <si>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</si>
  <si>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</si>
  <si>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</si>
  <si>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</si>
  <si>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</si>
  <si>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</si>
  <si>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</si>
  <si>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</si>
  <si>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</si>
  <si>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</si>
  <si>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</si>
  <si>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</si>
  <si>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</si>
  <si>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</si>
  <si>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</si>
  <si>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</si>
  <si>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</si>
  <si>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</si>
  <si>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</si>
  <si>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</si>
  <si>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</si>
  <si>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</si>
  <si>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</si>
  <si>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</si>
  <si>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</si>
  <si>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</si>
  <si>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</si>
  <si>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</si>
  <si>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</si>
  <si>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</si>
  <si>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</si>
  <si>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</si>
  <si>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</si>
  <si>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</si>
  <si>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</si>
  <si>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</si>
  <si>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</si>
  <si>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</si>
  <si>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</si>
  <si>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</si>
  <si>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</si>
  <si>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</si>
  <si>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</si>
  <si>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</si>
  <si>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</si>
  <si>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</si>
  <si>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</si>
  <si>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</si>
  <si>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</si>
  <si>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</si>
  <si>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</si>
  <si>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</si>
  <si>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</si>
  <si>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</si>
  <si>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</si>
  <si>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</si>
  <si>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</si>
  <si>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</si>
  <si>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</si>
  <si>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</si>
  <si>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</si>
  <si>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</si>
  <si>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</si>
  <si>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</si>
  <si>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</si>
  <si>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</si>
  <si>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</si>
  <si>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</si>
  <si>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</si>
  <si>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</si>
  <si>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</si>
  <si>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</si>
  <si>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</si>
  <si>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</si>
  <si>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</si>
  <si>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</si>
  <si>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</si>
  <si>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</si>
  <si>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</si>
  <si>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</si>
  <si>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</si>
  <si>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</si>
  <si>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</si>
  <si>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</si>
  <si>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</si>
  <si>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</si>
  <si>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</si>
  <si>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</si>
  <si>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</si>
  <si>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</si>
  <si>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</si>
  <si>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</si>
  <si>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</si>
  <si>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</si>
  <si>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</si>
  <si>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</si>
  <si>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</si>
  <si>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</si>
  <si>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</si>
  <si>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</si>
  <si>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</si>
  <si>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</si>
  <si>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</si>
  <si>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</si>
  <si>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</si>
  <si>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</si>
  <si>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</si>
  <si>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</si>
  <si>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</si>
  <si>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</si>
  <si>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</si>
  <si>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</si>
  <si>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</si>
  <si>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</si>
  <si>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</si>
  <si>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</si>
  <si>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</si>
  <si>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</si>
  <si>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</si>
  <si>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</si>
  <si>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</si>
  <si>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</si>
  <si>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</si>
  <si>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</si>
  <si>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</si>
  <si>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</si>
  <si>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</si>
  <si>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</si>
  <si>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</si>
  <si>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</si>
  <si>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</si>
  <si>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</si>
  <si>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</si>
  <si>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</si>
  <si>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</si>
  <si>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</si>
  <si>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</si>
  <si>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</si>
  <si>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</si>
  <si>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</si>
  <si>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</si>
  <si>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</si>
  <si>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</si>
  <si>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</si>
  <si>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</si>
  <si>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</si>
  <si>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</si>
  <si>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</si>
  <si>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</si>
  <si>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</si>
  <si>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</si>
  <si>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</si>
  <si>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</si>
  <si>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</si>
  <si>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</si>
  <si>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</si>
  <si>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</si>
  <si>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</si>
  <si>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</si>
  <si>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</si>
  <si>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</si>
  <si>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</si>
  <si>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</si>
  <si>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</si>
  <si>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</si>
  <si>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</si>
  <si>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</si>
  <si>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</si>
  <si>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</si>
  <si>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</si>
  <si>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</si>
  <si>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</si>
  <si>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</si>
  <si>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</si>
  <si>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</si>
  <si>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</si>
  <si>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</si>
  <si>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</si>
  <si>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</si>
  <si>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</si>
  <si>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</si>
  <si>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</si>
  <si>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</si>
  <si>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</si>
  <si>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</si>
  <si>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</si>
  <si>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</si>
  <si>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</si>
  <si>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</si>
  <si>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</si>
  <si>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</si>
  <si>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</si>
  <si>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</si>
  <si>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</si>
  <si>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</si>
  <si>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</si>
  <si>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</si>
  <si>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</si>
  <si>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</si>
  <si>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</si>
  <si>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</si>
  <si>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</si>
  <si>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</si>
  <si>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</si>
  <si>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</si>
  <si>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</si>
  <si>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</si>
  <si>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</si>
  <si>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</si>
  <si>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</si>
  <si>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</si>
  <si>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</si>
  <si>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</si>
  <si>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</si>
  <si>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</si>
  <si>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</si>
  <si>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</si>
  <si>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</si>
  <si>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</si>
  <si>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</si>
  <si>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</si>
  <si>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</si>
  <si>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</si>
  <si>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</si>
  <si>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</si>
  <si>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</si>
  <si>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</si>
  <si>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</si>
  <si>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</si>
  <si>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</si>
  <si>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</si>
  <si>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</si>
  <si>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</si>
  <si>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</si>
  <si>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</si>
  <si>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</si>
  <si>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</si>
  <si>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</si>
  <si>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</si>
  <si>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</si>
  <si>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</si>
  <si>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</si>
  <si>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</si>
  <si>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</si>
  <si>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</si>
  <si>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</si>
  <si>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</si>
  <si>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</si>
  <si>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</si>
  <si>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</si>
  <si>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</si>
  <si>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</si>
  <si>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</si>
  <si>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</si>
  <si>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</si>
  <si>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</si>
  <si>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</si>
  <si>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</si>
  <si>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</si>
  <si>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</si>
  <si>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</si>
  <si>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</si>
  <si>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</si>
  <si>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</si>
  <si>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</si>
  <si>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</si>
  <si>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</si>
  <si>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</si>
  <si>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</si>
  <si>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</si>
  <si>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</si>
  <si>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</si>
  <si>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</si>
  <si>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</si>
  <si>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</si>
  <si>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</si>
  <si>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</si>
  <si>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</si>
  <si>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</si>
  <si>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</si>
  <si>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</si>
  <si>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</si>
  <si>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</si>
  <si>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</si>
  <si>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</si>
  <si>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</si>
  <si>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</si>
  <si>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</si>
  <si>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</si>
  <si>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</si>
  <si>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</si>
  <si>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</si>
  <si>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</si>
  <si>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</si>
  <si>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</si>
  <si>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</si>
  <si>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</si>
  <si>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</si>
  <si>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</si>
  <si>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</si>
  <si>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</si>
  <si>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</si>
  <si>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</si>
  <si>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</si>
  <si>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</si>
  <si>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</si>
  <si>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</si>
  <si>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</si>
  <si>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</si>
  <si>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</si>
  <si>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</si>
  <si>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</si>
  <si>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</si>
  <si>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</si>
  <si>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</si>
  <si>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</si>
  <si>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</si>
  <si>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</si>
  <si>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</si>
  <si>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</si>
  <si>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</si>
  <si>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</si>
  <si>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</si>
  <si>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</si>
  <si>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</si>
  <si>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</si>
  <si>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</si>
  <si>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</si>
  <si>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</si>
  <si>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</si>
  <si>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</si>
  <si>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</si>
  <si>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</si>
  <si>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</si>
  <si>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</si>
  <si>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</si>
  <si>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</si>
  <si>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</si>
  <si>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</si>
  <si>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</si>
  <si>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</si>
  <si>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</si>
  <si>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</si>
  <si>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</si>
  <si>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</si>
  <si>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</si>
  <si>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</si>
  <si>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</si>
  <si>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</si>
  <si>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</si>
  <si>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</si>
  <si>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</si>
  <si>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</si>
  <si>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</si>
  <si>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</si>
  <si>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</si>
  <si>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</si>
  <si>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</si>
  <si>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</si>
  <si>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</si>
  <si>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</si>
  <si>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</si>
  <si>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</si>
  <si>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</si>
  <si>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</si>
  <si>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</si>
  <si>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</si>
  <si>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</si>
  <si>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</si>
  <si>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</si>
  <si>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</si>
  <si>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</si>
  <si>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</si>
  <si>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</si>
  <si>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</si>
  <si>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</si>
  <si>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</si>
  <si>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</si>
  <si>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</si>
  <si>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</si>
  <si>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</si>
  <si>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</si>
  <si>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</si>
  <si>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</si>
  <si>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</si>
  <si>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</si>
  <si>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</si>
  <si>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</si>
  <si>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</si>
  <si>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</si>
  <si>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</si>
  <si>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</si>
  <si>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</si>
  <si>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</si>
  <si>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</si>
  <si>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</si>
  <si>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</si>
  <si>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</si>
  <si>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</si>
  <si>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</si>
  <si>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</si>
  <si>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</si>
  <si>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</si>
  <si>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</si>
  <si>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</si>
  <si>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</si>
  <si>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</si>
  <si>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</si>
  <si>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</si>
  <si>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</si>
  <si>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</si>
  <si>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</si>
  <si>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</si>
  <si>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</si>
  <si>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</si>
  <si>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</si>
  <si>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</si>
  <si>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</si>
  <si>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</si>
  <si>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</si>
  <si>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</si>
  <si>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</si>
  <si>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</si>
  <si>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</si>
  <si>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</si>
  <si>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</si>
  <si>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</si>
  <si>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</si>
  <si>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</si>
  <si>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</si>
  <si>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</si>
  <si>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</si>
  <si>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</si>
  <si>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</si>
  <si>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</si>
  <si>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</si>
  <si>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</si>
  <si>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</si>
  <si>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</si>
  <si>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</si>
  <si>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</si>
  <si>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</si>
  <si>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</si>
  <si>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</si>
  <si>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</si>
  <si>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</si>
  <si>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</si>
  <si>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</si>
  <si>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</si>
  <si>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</si>
  <si>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</si>
  <si>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</si>
  <si>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</si>
  <si>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</si>
  <si>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</si>
  <si>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</si>
  <si>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</si>
  <si>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</si>
  <si>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</si>
  <si>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</si>
  <si>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</si>
  <si>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</si>
  <si>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</si>
  <si>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</si>
  <si>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</si>
  <si>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</si>
  <si>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</si>
  <si>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</si>
  <si>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</si>
  <si>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</si>
  <si>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</si>
  <si>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</si>
  <si>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</si>
  <si>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</si>
  <si>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</si>
  <si>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</si>
  <si>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</si>
  <si>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</si>
  <si>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</si>
  <si>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</si>
  <si>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</si>
  <si>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</si>
  <si>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</si>
  <si>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</si>
  <si>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</si>
  <si>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</si>
  <si>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</si>
  <si>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</si>
  <si>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</si>
  <si>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</si>
  <si>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</si>
  <si>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</si>
  <si>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</si>
  <si>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</si>
  <si>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</si>
  <si>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</si>
  <si>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</si>
  <si>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</si>
  <si>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</si>
  <si>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</si>
  <si>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</si>
  <si>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</si>
  <si>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</si>
  <si>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</si>
  <si>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</si>
  <si>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</si>
  <si>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</si>
  <si>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</si>
  <si>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</si>
  <si>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</si>
  <si>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</si>
  <si>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</si>
  <si>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</si>
  <si>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</si>
  <si>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</si>
  <si>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</si>
  <si>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</si>
  <si>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</si>
  <si>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</si>
  <si>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</si>
  <si>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</si>
  <si>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</si>
  <si>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</si>
  <si>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</si>
  <si>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</si>
  <si>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</si>
  <si>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</si>
  <si>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</si>
  <si>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</si>
  <si>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</si>
  <si>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</si>
  <si>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</si>
  <si>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</si>
  <si>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</si>
  <si>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</si>
  <si>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</si>
  <si>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</si>
  <si>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</si>
  <si>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</si>
  <si>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</si>
  <si>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</si>
  <si>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</si>
  <si>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</si>
  <si>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</si>
  <si>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</si>
  <si>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</si>
  <si>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</si>
  <si>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</si>
  <si>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</si>
  <si>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</si>
  <si>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</si>
  <si>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</si>
  <si>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</si>
  <si>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</si>
  <si>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</si>
  <si>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</si>
  <si>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</si>
  <si>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</si>
  <si>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</si>
  <si>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</si>
  <si>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</si>
  <si>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</si>
  <si>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</si>
  <si>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</si>
  <si>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</si>
  <si>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</si>
  <si>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</si>
  <si>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</si>
  <si>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</si>
  <si>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</si>
  <si>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</si>
  <si>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</si>
  <si>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</si>
  <si>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</si>
  <si>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</si>
  <si>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</si>
  <si>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</si>
  <si>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</si>
  <si>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</si>
  <si>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</si>
  <si>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</si>
  <si>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</si>
  <si>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</si>
  <si>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</si>
  <si>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</si>
  <si>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</si>
  <si>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</si>
  <si>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</si>
  <si>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</si>
  <si>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</si>
  <si>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</si>
  <si>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</si>
  <si>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</si>
  <si>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</si>
  <si>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</si>
  <si>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</si>
  <si>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</si>
  <si>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</si>
  <si>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</si>
  <si>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</si>
  <si>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</si>
  <si>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</si>
  <si>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</si>
  <si>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</si>
  <si>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</si>
  <si>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</si>
  <si>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</si>
  <si>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</si>
  <si>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</si>
  <si>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</si>
  <si>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</si>
  <si>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</si>
  <si>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</si>
  <si>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</si>
  <si>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</si>
  <si>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</si>
  <si>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</si>
  <si>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</si>
  <si>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</si>
  <si>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</si>
  <si>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</si>
  <si>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</si>
  <si>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</si>
  <si>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</si>
  <si>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</si>
  <si>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</si>
  <si>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</si>
  <si>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</si>
  <si>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</si>
  <si>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</si>
  <si>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</si>
  <si>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</si>
  <si>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</si>
  <si>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</si>
  <si>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</si>
  <si>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</si>
  <si>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</si>
  <si>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</si>
  <si>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</si>
  <si>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</si>
  <si>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</si>
  <si>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</si>
  <si>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</si>
  <si>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</si>
  <si>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</si>
  <si>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</si>
  <si>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</si>
  <si>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</si>
  <si>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</si>
  <si>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</si>
  <si>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</si>
  <si>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</si>
  <si>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</si>
  <si>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</si>
  <si>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</si>
  <si>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</si>
  <si>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</si>
  <si>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</si>
  <si>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</si>
  <si>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</si>
  <si>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</si>
  <si>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</si>
  <si>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</si>
  <si>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</si>
  <si>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</si>
  <si>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</si>
  <si>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</si>
  <si>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</si>
  <si>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</si>
  <si>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</si>
  <si>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</si>
  <si>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</si>
  <si>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</si>
  <si>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</si>
  <si>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</si>
  <si>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</si>
  <si>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</si>
  <si>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</si>
  <si>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</si>
  <si>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</si>
  <si>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</si>
  <si>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</si>
  <si>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</si>
  <si>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</si>
  <si>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</si>
  <si>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</si>
  <si>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</si>
  <si>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</si>
  <si>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</si>
  <si>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</si>
  <si>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</si>
  <si>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</si>
  <si>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</si>
  <si>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</si>
  <si>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</si>
  <si>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</si>
  <si>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</si>
  <si>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</si>
  <si>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</si>
  <si>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</si>
  <si>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</si>
  <si>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</si>
  <si>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</si>
  <si>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</si>
  <si>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</si>
  <si>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</si>
  <si>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</si>
  <si>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</si>
  <si>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</si>
  <si>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</si>
  <si>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</si>
  <si>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</si>
  <si>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</si>
  <si>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</si>
  <si>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</si>
  <si>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</si>
  <si>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</si>
  <si>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</si>
  <si>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</si>
  <si>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</si>
  <si>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</si>
  <si>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</si>
  <si>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</si>
  <si>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</si>
  <si>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</si>
  <si>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</si>
  <si>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</si>
  <si>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</si>
  <si>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</si>
  <si>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</si>
  <si>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</si>
  <si>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</si>
  <si>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</si>
  <si>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</si>
  <si>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</si>
  <si>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</si>
  <si>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</si>
  <si>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</si>
  <si>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</si>
  <si>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</si>
  <si>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</si>
  <si>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</si>
  <si>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</si>
  <si>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</si>
  <si>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</si>
  <si>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</si>
  <si>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</si>
  <si>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</si>
  <si>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</si>
  <si>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</si>
  <si>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</si>
  <si>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</si>
  <si>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</si>
  <si>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</si>
  <si>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</si>
  <si>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</si>
  <si>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</si>
  <si>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</si>
  <si>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</si>
  <si>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</si>
  <si>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</si>
  <si>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</si>
  <si>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</si>
  <si>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</si>
  <si>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</si>
  <si>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</si>
  <si>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</si>
  <si>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</si>
  <si>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</si>
  <si>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</si>
  <si>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</si>
  <si>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</si>
  <si>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</si>
  <si>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</si>
  <si>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</si>
  <si>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</si>
  <si>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</si>
  <si>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</si>
  <si>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</si>
  <si>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</si>
  <si>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</si>
  <si>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</si>
  <si>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</si>
  <si>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</si>
  <si>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</si>
  <si>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</si>
  <si>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</si>
  <si>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</si>
  <si>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</si>
  <si>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</si>
  <si>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</si>
  <si>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</si>
  <si>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</si>
  <si>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</si>
  <si>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</si>
  <si>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</si>
  <si>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</si>
  <si>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</si>
  <si>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</si>
  <si>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</si>
  <si>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</si>
  <si>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</si>
  <si>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</si>
  <si>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</si>
  <si>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</si>
  <si>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</si>
  <si>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</si>
  <si>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</si>
  <si>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</si>
  <si>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</si>
  <si>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</si>
  <si>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</si>
  <si>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</si>
  <si>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</si>
  <si>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</si>
  <si>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</si>
  <si>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</si>
  <si>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</si>
  <si>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</si>
  <si>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</si>
  <si>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</si>
  <si>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</si>
  <si>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</si>
  <si>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</si>
  <si>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</si>
  <si>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</si>
  <si>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</si>
  <si>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</si>
  <si>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</si>
  <si>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</si>
  <si>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</si>
  <si>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</si>
  <si>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</si>
  <si>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</si>
  <si>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</si>
  <si>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</si>
  <si>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</si>
  <si>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</si>
  <si>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</si>
  <si>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</si>
  <si>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</si>
  <si>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</si>
  <si>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</si>
  <si>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</si>
  <si>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</si>
  <si>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</si>
  <si>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</si>
  <si>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</si>
  <si>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</si>
  <si>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</si>
  <si>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</si>
  <si>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</si>
  <si>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</si>
  <si>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</si>
  <si>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</si>
  <si>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</si>
  <si>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</si>
  <si>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</si>
  <si>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</si>
  <si>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</si>
  <si>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</si>
  <si>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</si>
  <si>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</si>
  <si>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</si>
  <si>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</si>
  <si>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</si>
  <si>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</si>
  <si>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</si>
  <si>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</si>
  <si>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</si>
  <si>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</si>
  <si>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</si>
  <si>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</si>
  <si>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</si>
  <si>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</si>
  <si>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</si>
  <si>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</si>
  <si>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</si>
  <si>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</si>
  <si>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</si>
  <si>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</si>
  <si>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</si>
  <si>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</si>
  <si>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</si>
  <si>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</si>
  <si>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</si>
  <si>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</si>
  <si>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</si>
  <si>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</si>
  <si>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</si>
  <si>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</si>
  <si>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</si>
  <si>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</si>
  <si>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</si>
  <si>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</si>
  <si>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</si>
  <si>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</si>
  <si>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</si>
  <si>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</si>
  <si>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</si>
  <si>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</si>
  <si>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</si>
  <si>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</si>
  <si>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</si>
  <si>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</si>
  <si>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</si>
  <si>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</si>
  <si>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</si>
  <si>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</si>
  <si>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</si>
  <si>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</si>
  <si>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</si>
  <si>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</si>
  <si>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</si>
  <si>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</si>
  <si>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</si>
  <si>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</si>
  <si>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</si>
  <si>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</si>
  <si>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</si>
  <si>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</si>
  <si>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</si>
  <si>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</si>
  <si>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</si>
  <si>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</si>
  <si>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</si>
  <si>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</si>
  <si>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</si>
  <si>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</si>
  <si>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</si>
  <si>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</si>
  <si>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</si>
  <si>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</si>
  <si>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</si>
  <si>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</si>
  <si>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</si>
  <si>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</si>
  <si>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</si>
  <si>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</si>
  <si>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</si>
  <si>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</si>
  <si>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</si>
  <si>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</si>
  <si>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</si>
  <si>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</si>
  <si>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</si>
  <si>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</si>
  <si>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</si>
  <si>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</si>
  <si>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</si>
  <si>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</si>
  <si>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</si>
  <si>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</si>
  <si>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</si>
  <si>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</si>
  <si>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</si>
  <si>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</si>
  <si>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</si>
  <si>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</si>
  <si>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</si>
  <si>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</si>
  <si>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</si>
  <si>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</si>
  <si>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</si>
  <si>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</si>
  <si>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</si>
  <si>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</si>
  <si>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</si>
  <si>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</si>
  <si>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</si>
  <si>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</si>
  <si>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</si>
  <si>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</si>
  <si>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</si>
  <si>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</si>
  <si>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</si>
  <si>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</si>
  <si>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</si>
  <si>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</si>
  <si>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</si>
  <si>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</si>
  <si>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</si>
  <si>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</si>
  <si>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</si>
  <si>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</si>
  <si>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</si>
  <si>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</si>
  <si>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</si>
  <si>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</si>
  <si>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</si>
  <si>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</si>
  <si>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</si>
  <si>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</si>
  <si>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</si>
  <si>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</si>
  <si>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</si>
  <si>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</si>
  <si>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</si>
  <si>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</si>
  <si>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</si>
  <si>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</si>
  <si>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</si>
  <si>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</si>
  <si>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</si>
  <si>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</si>
  <si>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</si>
  <si>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</si>
  <si>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</si>
  <si>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</si>
  <si>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</si>
  <si>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</si>
  <si>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</si>
  <si>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</si>
  <si>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</si>
  <si>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</si>
  <si>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</si>
  <si>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</si>
  <si>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</si>
  <si>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</si>
  <si>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</si>
  <si>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</si>
  <si>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</si>
  <si>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</si>
  <si>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</si>
  <si>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</si>
  <si>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</si>
  <si>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</si>
  <si>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</si>
  <si>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</si>
  <si>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</si>
  <si>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</si>
  <si>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</si>
  <si>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</si>
  <si>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</si>
  <si>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</si>
  <si>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</si>
  <si>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</si>
  <si>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</si>
  <si>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</si>
  <si>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</si>
  <si>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</si>
  <si>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</si>
  <si>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</si>
  <si>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</si>
  <si>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</si>
  <si>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</si>
  <si>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</si>
  <si>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</si>
  <si>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</si>
  <si>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</si>
  <si>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</si>
  <si>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</si>
  <si>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</si>
  <si>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</si>
  <si>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</si>
  <si>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</si>
  <si>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</si>
  <si>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</si>
  <si>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</si>
  <si>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</si>
  <si>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</si>
  <si>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</si>
  <si>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</si>
  <si>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</si>
  <si>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</si>
  <si>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</si>
  <si>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</si>
  <si>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</si>
  <si>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</si>
  <si>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</si>
  <si>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</si>
  <si>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</si>
  <si>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</si>
  <si>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</si>
  <si>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</si>
  <si>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</si>
  <si>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</si>
  <si>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</si>
  <si>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</si>
  <si>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</si>
  <si>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</si>
  <si>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</si>
  <si>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</si>
  <si>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</si>
  <si>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</si>
  <si>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</si>
  <si>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</si>
  <si>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</si>
  <si>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</si>
  <si>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</si>
  <si>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</si>
  <si>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</si>
  <si>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</si>
  <si>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</si>
  <si>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</si>
  <si>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</si>
  <si>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</si>
  <si>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</si>
  <si>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</si>
  <si>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</si>
  <si>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</si>
  <si>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</si>
  <si>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</si>
  <si>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</si>
  <si>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</si>
  <si>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</si>
  <si>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</si>
  <si>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</si>
  <si>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</si>
  <si>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</si>
  <si>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</si>
  <si>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</si>
  <si>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</si>
  <si>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</si>
  <si>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</si>
  <si>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</si>
  <si>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</si>
  <si>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</si>
  <si>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</si>
  <si>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</si>
  <si>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</si>
  <si>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</si>
  <si>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</si>
  <si>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</si>
  <si>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</si>
  <si>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</si>
  <si>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</si>
  <si>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</si>
  <si>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</si>
  <si>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</si>
  <si>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</si>
  <si>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</si>
  <si>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</si>
  <si>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</si>
  <si>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</si>
  <si>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</si>
  <si>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</si>
  <si>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</si>
  <si>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</si>
  <si>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</si>
  <si>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</si>
  <si>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</si>
  <si>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</si>
  <si>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</si>
  <si>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</si>
  <si>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</si>
  <si>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</si>
  <si>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</si>
  <si>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</si>
  <si>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</si>
  <si>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</si>
  <si>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</si>
  <si>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</si>
  <si>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</si>
  <si>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</si>
  <si>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</si>
  <si>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</si>
  <si>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</si>
  <si>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</si>
  <si>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</si>
  <si>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</si>
  <si>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</si>
  <si>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</si>
  <si>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</si>
  <si>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</si>
  <si>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</si>
  <si>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</si>
  <si>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</si>
  <si>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</si>
  <si>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</si>
  <si>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</si>
  <si>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</si>
  <si>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</si>
  <si>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</si>
  <si>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</si>
  <si>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</si>
  <si>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</si>
  <si>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</si>
  <si>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</si>
  <si>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</si>
  <si>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</si>
  <si>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</si>
  <si>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</si>
  <si>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</si>
  <si>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</si>
  <si>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</si>
  <si>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</si>
  <si>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</si>
  <si>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</si>
  <si>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</si>
  <si>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</si>
  <si>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</si>
  <si>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</si>
  <si>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</si>
  <si>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</si>
  <si>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</si>
  <si>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</si>
  <si>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</si>
  <si>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</si>
  <si>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</si>
  <si>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</si>
  <si>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</si>
  <si>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</si>
  <si>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</si>
  <si>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</si>
  <si>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</si>
  <si>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</si>
  <si>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</si>
  <si>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</si>
  <si>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</si>
  <si>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</si>
  <si>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</si>
  <si>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</si>
  <si>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</si>
  <si>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</si>
  <si>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</si>
  <si>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</si>
  <si>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</si>
  <si>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</si>
  <si>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</si>
  <si>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</si>
  <si>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</si>
  <si>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</si>
  <si>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</si>
  <si>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</si>
  <si>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</si>
  <si>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</si>
  <si>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</si>
  <si>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</si>
  <si>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</si>
  <si>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</si>
  <si>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</si>
  <si>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</si>
  <si>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</si>
  <si>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</si>
  <si>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</si>
  <si>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</si>
  <si>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</si>
  <si>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</si>
  <si>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</si>
  <si>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</si>
  <si>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</si>
  <si>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</si>
  <si>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</si>
  <si>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</si>
  <si>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</si>
  <si>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</si>
  <si>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</si>
  <si>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</si>
  <si>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</si>
  <si>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</si>
  <si>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</si>
  <si>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</si>
  <si>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</si>
  <si>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</si>
  <si>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</si>
  <si>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</si>
  <si>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</si>
  <si>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</si>
  <si>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</si>
  <si>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</si>
  <si>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</si>
  <si>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</si>
  <si>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</si>
  <si>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</si>
  <si>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</si>
  <si>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</si>
  <si>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</si>
  <si>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</si>
  <si>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</si>
  <si>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</si>
  <si>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</si>
  <si>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</si>
  <si>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</si>
  <si>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</si>
  <si>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</si>
  <si>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</si>
  <si>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</si>
  <si>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</si>
  <si>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</si>
  <si>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</si>
  <si>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</si>
  <si>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</si>
  <si>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</si>
  <si>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</si>
  <si>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</si>
  <si>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</si>
  <si>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</si>
  <si>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</si>
  <si>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</si>
  <si>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</si>
  <si>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</si>
  <si>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</si>
  <si>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</si>
  <si>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</si>
  <si>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</si>
  <si>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</si>
  <si>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</si>
  <si>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</si>
  <si>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</si>
  <si>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</si>
  <si>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</si>
  <si>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</si>
  <si>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</si>
  <si>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</si>
  <si>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</si>
  <si>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</si>
  <si>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</si>
  <si>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</si>
  <si>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</si>
  <si>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</si>
  <si>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</si>
  <si>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</si>
  <si>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</si>
  <si>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</si>
  <si>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</si>
  <si>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</si>
  <si>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</si>
  <si>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</si>
  <si>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</si>
  <si>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</si>
  <si>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</si>
  <si>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</si>
  <si>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</si>
  <si>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</si>
  <si>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</si>
  <si>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</si>
  <si>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</si>
  <si>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</si>
  <si>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</si>
  <si>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</si>
  <si>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</si>
  <si>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</si>
  <si>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</si>
  <si>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</si>
  <si>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</si>
  <si>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</si>
  <si>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</si>
  <si>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</si>
  <si>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</si>
  <si>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</si>
  <si>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</si>
  <si>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</si>
  <si>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</si>
  <si>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</si>
  <si>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</si>
  <si>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</si>
  <si>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</si>
  <si>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</si>
  <si>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</si>
  <si>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</si>
  <si>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</si>
  <si>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</si>
  <si>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</si>
  <si>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</si>
  <si>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</si>
  <si>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</si>
  <si>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</si>
  <si>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</si>
  <si>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</si>
  <si>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</si>
  <si>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</si>
  <si>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</si>
  <si>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</si>
  <si>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</si>
  <si>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</si>
  <si>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</si>
  <si>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</si>
  <si>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</si>
  <si>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</si>
  <si>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</si>
  <si>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</si>
  <si>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</si>
  <si>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</si>
  <si>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</si>
  <si>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</si>
  <si>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</si>
  <si>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</si>
  <si>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</si>
  <si>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</si>
  <si>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</si>
  <si>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</si>
  <si>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</si>
  <si>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</si>
  <si>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</si>
  <si>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</si>
  <si>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</si>
  <si>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</si>
  <si>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</si>
  <si>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</si>
  <si>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</si>
  <si>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</si>
  <si>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</si>
  <si>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</si>
  <si>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</si>
  <si>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</si>
  <si>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</si>
  <si>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</si>
  <si>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</si>
  <si>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</si>
  <si>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</si>
  <si>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</si>
  <si>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</si>
  <si>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</si>
  <si>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</si>
  <si>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</si>
  <si>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</si>
  <si>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</si>
  <si>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</si>
  <si>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</si>
  <si>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</si>
  <si>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</si>
  <si>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</si>
  <si>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</si>
  <si>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</si>
  <si>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</si>
  <si>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</si>
  <si>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</si>
  <si>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</si>
  <si>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</si>
  <si>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</si>
  <si>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</si>
  <si>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</si>
  <si>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</si>
  <si>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</si>
  <si>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</si>
  <si>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</si>
  <si>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</si>
  <si>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</si>
  <si>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</si>
  <si>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</si>
  <si>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</si>
  <si>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</si>
  <si>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</si>
  <si>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</si>
  <si>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</si>
  <si>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</si>
  <si>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</si>
  <si>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</si>
  <si>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</si>
  <si>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</si>
  <si>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</si>
  <si>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</si>
  <si>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</si>
  <si>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</si>
  <si>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</si>
  <si>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</si>
  <si>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</si>
  <si>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</si>
  <si>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</si>
  <si>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</si>
  <si>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</si>
  <si>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</si>
  <si>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</si>
  <si>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</si>
  <si>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</si>
  <si>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</si>
  <si>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</si>
  <si>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</si>
  <si>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</si>
  <si>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</si>
  <si>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</si>
  <si>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</si>
  <si>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</si>
  <si>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</si>
  <si>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</si>
  <si>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</si>
  <si>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</si>
  <si>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</si>
  <si>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</si>
  <si>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</si>
  <si>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</si>
  <si>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</si>
  <si>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</si>
  <si>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</si>
  <si>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</si>
  <si>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</si>
  <si>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</si>
  <si>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</si>
  <si>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</si>
  <si>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</si>
  <si>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</si>
  <si>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</si>
  <si>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</si>
  <si>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</si>
  <si>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</si>
  <si>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</si>
  <si>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</si>
  <si>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</si>
  <si>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</si>
  <si>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</si>
  <si>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</si>
  <si>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</si>
  <si>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</si>
  <si>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</si>
  <si>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</si>
  <si>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</si>
  <si>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</si>
  <si>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</si>
  <si>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</si>
  <si>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</si>
  <si>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</si>
  <si>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</si>
  <si>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</si>
  <si>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</si>
  <si>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</si>
  <si>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</si>
  <si>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</si>
  <si>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</si>
  <si>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</si>
  <si>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</si>
  <si>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</si>
  <si>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</si>
  <si>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</si>
  <si>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</si>
  <si>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</si>
  <si>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</si>
  <si>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</si>
  <si>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</si>
  <si>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</si>
  <si>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</si>
  <si>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</si>
  <si>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</si>
  <si>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</si>
  <si>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</si>
  <si>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</si>
  <si>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</si>
  <si>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</si>
  <si>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</si>
  <si>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</si>
  <si>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</si>
  <si>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</si>
  <si>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</si>
  <si>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</si>
  <si>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</si>
  <si>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</si>
  <si>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</si>
  <si>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</si>
  <si>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</si>
  <si>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</si>
  <si>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</si>
  <si>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</si>
  <si>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</si>
  <si>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</si>
  <si>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</si>
  <si>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</si>
  <si>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</si>
  <si>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</si>
  <si>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</si>
  <si>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</si>
  <si>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</si>
  <si>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</si>
  <si>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</si>
  <si>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</si>
  <si>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</si>
  <si>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</si>
  <si>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</si>
  <si>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</si>
  <si>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</si>
  <si>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</si>
  <si>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</si>
  <si>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</si>
  <si>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</si>
  <si>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</si>
  <si>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</si>
  <si>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</si>
  <si>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</si>
  <si>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</si>
  <si>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</si>
  <si>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</si>
  <si>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</si>
  <si>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</si>
  <si>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</si>
  <si>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</si>
  <si>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</si>
  <si>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</si>
  <si>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</si>
  <si>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</si>
  <si>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</si>
  <si>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</si>
  <si>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</si>
  <si>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</si>
  <si>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</si>
  <si>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</si>
  <si>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</si>
  <si>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</si>
  <si>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</si>
  <si>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</si>
  <si>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</si>
  <si>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</si>
  <si>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</si>
  <si>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</si>
  <si>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</si>
  <si>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</si>
  <si>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</si>
  <si>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</si>
  <si>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</si>
  <si>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</si>
  <si>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</si>
  <si>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</si>
  <si>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</si>
  <si>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</si>
  <si>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</si>
  <si>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</si>
  <si>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</si>
  <si>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</si>
  <si>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</si>
  <si>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</si>
  <si>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</si>
  <si>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</si>
  <si>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</si>
  <si>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</si>
  <si>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</si>
  <si>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</si>
  <si>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</si>
  <si>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</si>
  <si>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</si>
  <si>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</si>
  <si>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</si>
  <si>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</si>
  <si>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</si>
  <si>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</si>
  <si>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</si>
  <si>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</si>
  <si>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</si>
  <si>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</si>
  <si>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</si>
  <si>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</si>
  <si>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</si>
  <si>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</si>
  <si>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</si>
  <si>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</si>
  <si>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</si>
  <si>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</si>
  <si>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</si>
  <si>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</si>
  <si>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</si>
  <si>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</si>
  <si>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</si>
  <si>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</si>
  <si>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</si>
  <si>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</si>
  <si>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</si>
  <si>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</si>
  <si>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</si>
  <si>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</si>
  <si>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</si>
  <si>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</si>
  <si>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</si>
  <si>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</si>
  <si>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</si>
  <si>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</si>
  <si>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</si>
  <si>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</si>
  <si>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</si>
  <si>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</si>
  <si>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</si>
  <si>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</si>
  <si>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</si>
  <si>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</si>
  <si>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</si>
  <si>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</si>
  <si>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</si>
  <si>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</si>
  <si>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</si>
  <si>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</si>
  <si>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</si>
  <si>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</si>
  <si>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</si>
  <si>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</si>
  <si>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</si>
  <si>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</si>
  <si>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</si>
  <si>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</si>
  <si>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</si>
  <si>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</si>
  <si>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</si>
  <si>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</si>
  <si>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</si>
  <si>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</si>
  <si>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</si>
  <si>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</si>
  <si>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</si>
  <si>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</si>
  <si>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</si>
  <si>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</si>
  <si>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</si>
  <si>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</si>
  <si>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</si>
  <si>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</si>
  <si>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</si>
  <si>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</si>
  <si>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</si>
  <si>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</si>
  <si>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</si>
  <si>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</si>
  <si>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</si>
  <si>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</si>
  <si>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</si>
  <si>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</si>
  <si>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</si>
  <si>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</si>
  <si>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</si>
  <si>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</si>
  <si>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</si>
  <si>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</si>
  <si>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</si>
  <si>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</si>
  <si>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</si>
  <si>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</si>
  <si>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</si>
  <si>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</si>
  <si>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</si>
  <si>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</si>
  <si>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</si>
  <si>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</si>
  <si>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</si>
  <si>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</si>
  <si>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</si>
  <si>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</si>
  <si>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</si>
  <si>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</si>
  <si>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</si>
  <si>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</si>
  <si>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</si>
  <si>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</si>
  <si>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</si>
  <si>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</si>
  <si>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</si>
  <si>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</si>
  <si>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</si>
  <si>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</si>
  <si>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</si>
  <si>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</si>
  <si>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</si>
  <si>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</si>
  <si>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</si>
  <si>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</si>
  <si>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</si>
  <si>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</si>
  <si>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</si>
  <si>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</si>
  <si>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</si>
  <si>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</si>
  <si>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</si>
  <si>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</si>
  <si>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</si>
  <si>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</si>
  <si>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</si>
  <si>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</si>
  <si>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</si>
  <si>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</si>
  <si>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</si>
  <si>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</si>
  <si>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</si>
  <si>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</si>
  <si>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</si>
  <si>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</si>
  <si>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</si>
  <si>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</si>
  <si>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</si>
  <si>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</si>
  <si>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</si>
  <si>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</si>
  <si>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</si>
  <si>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</si>
  <si>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</si>
  <si>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</si>
  <si>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</si>
  <si>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</si>
  <si>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</si>
  <si>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</si>
  <si>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</si>
  <si>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</si>
  <si>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</si>
  <si>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</si>
  <si>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</si>
  <si>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</si>
  <si>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</si>
  <si>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</si>
  <si>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</si>
  <si>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</si>
  <si>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</si>
  <si>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</si>
  <si>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</si>
  <si>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</si>
  <si>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</si>
  <si>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</si>
  <si>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</si>
  <si>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</si>
  <si>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</si>
  <si>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</si>
  <si>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</si>
  <si>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</si>
  <si>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</si>
  <si>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</si>
  <si>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</si>
  <si>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</si>
  <si>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</si>
  <si>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</si>
  <si>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</si>
  <si>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</si>
  <si>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</si>
  <si>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</si>
  <si>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</si>
  <si>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</si>
  <si>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</si>
  <si>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</si>
  <si>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</si>
  <si>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</si>
  <si>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</si>
  <si>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</si>
  <si>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</si>
  <si>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</si>
  <si>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</si>
  <si>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</si>
  <si>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</si>
  <si>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</si>
  <si>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</si>
  <si>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</si>
  <si>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</si>
  <si>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</si>
  <si>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</si>
  <si>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</si>
  <si>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</si>
  <si>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</si>
  <si>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</si>
  <si>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</si>
  <si>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</si>
  <si>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</si>
  <si>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</si>
  <si>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</si>
  <si>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</si>
  <si>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</si>
  <si>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</si>
  <si>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</si>
  <si>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</si>
  <si>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</si>
  <si>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</si>
  <si>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</si>
  <si>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</si>
  <si>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</si>
  <si>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</si>
  <si>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</si>
  <si>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</si>
  <si>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</si>
  <si>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</si>
  <si>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</si>
  <si>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</si>
  <si>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</si>
  <si>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</si>
  <si>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</si>
  <si>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</si>
  <si>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</si>
  <si>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</si>
  <si>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</si>
  <si>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</si>
  <si>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</si>
  <si>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</si>
  <si>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</si>
  <si>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</si>
  <si>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</si>
  <si>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</si>
  <si>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</si>
  <si>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</si>
  <si>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</si>
  <si>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</si>
  <si>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</si>
  <si>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</si>
  <si>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</si>
  <si>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</si>
  <si>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</si>
  <si>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</si>
  <si>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</si>
  <si>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</si>
  <si>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</si>
  <si>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</si>
  <si>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</si>
  <si>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</si>
  <si>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</si>
  <si>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</si>
  <si>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</si>
  <si>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</si>
  <si>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</si>
  <si>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</si>
  <si>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</si>
  <si>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</si>
  <si>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</si>
  <si>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</si>
  <si>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</si>
  <si>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</si>
  <si>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</si>
  <si>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</si>
  <si>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</si>
  <si>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</si>
  <si>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</si>
  <si>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</si>
  <si>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</si>
  <si>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</si>
  <si>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</si>
  <si>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</si>
  <si>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</si>
  <si>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</si>
  <si>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</si>
  <si>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</si>
  <si>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</si>
  <si>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</si>
  <si>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</si>
  <si>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</si>
  <si>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</si>
  <si>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</si>
  <si>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</si>
  <si>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</si>
  <si>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</si>
  <si>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</si>
  <si>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</si>
  <si>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</si>
  <si>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</si>
  <si>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</si>
  <si>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</si>
  <si>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</si>
  <si>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</si>
  <si>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</si>
  <si>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</si>
  <si>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</si>
  <si>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</si>
  <si>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</si>
  <si>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</si>
  <si>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</si>
  <si>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</si>
  <si>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</si>
  <si>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</si>
  <si>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</si>
  <si>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</si>
  <si>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</si>
  <si>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</si>
  <si>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</si>
  <si>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</si>
  <si>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</si>
  <si>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</si>
  <si>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</si>
  <si>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</si>
  <si>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</si>
  <si>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</si>
  <si>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</si>
  <si>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</si>
  <si>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</si>
  <si>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</si>
  <si>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</si>
  <si>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</si>
  <si>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</si>
  <si>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</si>
  <si>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</si>
  <si>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</si>
  <si>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</si>
  <si>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</si>
  <si>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</si>
  <si>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</si>
  <si>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</si>
  <si>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</si>
  <si>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</si>
  <si>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</si>
  <si>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</si>
  <si>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</si>
  <si>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</si>
  <si>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</si>
  <si>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</si>
  <si>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</si>
  <si>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</si>
  <si>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</si>
  <si>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</si>
  <si>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</si>
  <si>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</si>
  <si>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</si>
  <si>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</si>
  <si>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</si>
  <si>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</si>
  <si>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</si>
  <si>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</si>
  <si>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</si>
  <si>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</si>
  <si>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</si>
  <si>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</si>
  <si>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</si>
  <si>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</si>
  <si>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</si>
  <si>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</si>
  <si>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</si>
  <si>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</si>
  <si>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</si>
  <si>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</si>
  <si>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</si>
  <si>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</si>
  <si>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</si>
  <si>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</si>
  <si>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</si>
  <si>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</si>
  <si>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</si>
  <si>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</si>
  <si>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</si>
  <si>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</si>
  <si>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</si>
  <si>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</si>
  <si>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</si>
  <si>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</si>
  <si>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</si>
  <si>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</si>
  <si>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</si>
  <si>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</si>
  <si>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</si>
  <si>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</si>
  <si>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</si>
  <si>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</si>
  <si>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</si>
  <si>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</si>
  <si>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</si>
  <si>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</si>
  <si>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</si>
  <si>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</si>
  <si>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</si>
  <si>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</si>
  <si>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</si>
  <si>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</si>
  <si>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</si>
  <si>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</si>
  <si>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</si>
  <si>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</si>
  <si>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</si>
  <si>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</si>
  <si>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</si>
  <si>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</si>
  <si>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</si>
  <si>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</si>
  <si>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</si>
  <si>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</si>
  <si>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</si>
  <si>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</si>
  <si>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</si>
  <si>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</si>
  <si>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</si>
  <si>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</si>
  <si>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</si>
  <si>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</si>
  <si>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</si>
  <si>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</si>
  <si>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</si>
  <si>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</si>
  <si>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</si>
  <si>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</si>
  <si>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</si>
  <si>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</si>
  <si>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</si>
  <si>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</si>
  <si>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</si>
  <si>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</si>
  <si>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</si>
  <si>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</si>
  <si>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</si>
  <si>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</si>
  <si>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</si>
  <si>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</si>
  <si>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</si>
  <si>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</si>
  <si>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</si>
  <si>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</si>
  <si>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</si>
  <si>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</si>
  <si>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</si>
  <si>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</si>
  <si>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</si>
  <si>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</si>
  <si>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</si>
  <si>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</si>
  <si>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</si>
  <si>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</si>
  <si>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</si>
  <si>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</si>
  <si>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</si>
  <si>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</si>
  <si>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</si>
  <si>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</si>
  <si>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</si>
  <si>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</si>
  <si>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</si>
  <si>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</si>
  <si>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</si>
  <si>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</si>
  <si>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</si>
  <si>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</si>
  <si>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</si>
  <si>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</si>
  <si>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</si>
  <si>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</si>
  <si>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</si>
  <si>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</si>
  <si>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</si>
  <si>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</si>
  <si>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</si>
  <si>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</si>
  <si>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</si>
  <si>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</si>
  <si>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</si>
  <si>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</si>
  <si>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</si>
  <si>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</si>
  <si>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</si>
  <si>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</si>
  <si>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</si>
  <si>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</si>
  <si>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</si>
  <si>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</si>
  <si>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</si>
  <si>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</si>
  <si>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</si>
  <si>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</si>
  <si>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</si>
  <si>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</si>
  <si>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</si>
  <si>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</si>
  <si>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</si>
  <si>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</si>
  <si>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</si>
  <si>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</si>
  <si>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</si>
  <si>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</si>
  <si>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</si>
  <si>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</si>
  <si>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</si>
  <si>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</si>
  <si>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</si>
  <si>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</si>
  <si>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</si>
  <si>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</si>
  <si>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</si>
  <si>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</si>
  <si>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</si>
  <si>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</si>
  <si>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</si>
  <si>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</si>
  <si>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</si>
  <si>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</si>
  <si>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</si>
  <si>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</si>
  <si>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</si>
  <si>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</si>
  <si>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</si>
  <si>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</si>
  <si>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</si>
  <si>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</si>
  <si>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</si>
  <si>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</si>
  <si>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</si>
  <si>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</si>
  <si>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</si>
  <si>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</si>
  <si>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</si>
  <si>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</si>
  <si>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</si>
  <si>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</si>
  <si>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</si>
  <si>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</si>
  <si>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</si>
  <si>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</si>
  <si>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</si>
  <si>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</si>
  <si>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</si>
  <si>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</si>
  <si>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</si>
  <si>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</si>
  <si>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</si>
  <si>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</si>
  <si>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</si>
  <si>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</si>
  <si>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</si>
  <si>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</si>
  <si>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</si>
  <si>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</si>
  <si>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</si>
  <si>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</si>
  <si>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</si>
  <si>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</si>
  <si>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</si>
  <si>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</si>
  <si>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</si>
  <si>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</si>
  <si>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</si>
  <si>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</si>
  <si>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</si>
  <si>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</si>
  <si>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</si>
  <si>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</si>
  <si>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</si>
  <si>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</si>
  <si>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</si>
  <si>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</si>
  <si>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</si>
  <si>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</si>
  <si>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</si>
  <si>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</si>
  <si>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</si>
  <si>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</si>
  <si>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</si>
  <si>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</si>
  <si>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</si>
  <si>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</si>
  <si>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</si>
  <si>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</si>
  <si>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</si>
  <si>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</si>
  <si>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</si>
  <si>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</si>
  <si>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</si>
  <si>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</si>
  <si>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</si>
  <si>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</si>
  <si>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</si>
  <si>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</si>
  <si>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</si>
  <si>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</si>
  <si>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</si>
  <si>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</si>
  <si>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</si>
  <si>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</si>
  <si>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</si>
  <si>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</si>
  <si>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</si>
  <si>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</si>
  <si>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</si>
  <si>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</si>
  <si>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</si>
  <si>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</si>
  <si>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</si>
  <si>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</si>
  <si>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</si>
  <si>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</si>
  <si>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</si>
  <si>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</si>
  <si>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</si>
  <si>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</si>
  <si>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</si>
  <si>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</si>
  <si>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</si>
  <si>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</si>
  <si>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</si>
  <si>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</si>
  <si>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</si>
  <si>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</si>
  <si>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</si>
  <si>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</si>
  <si>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</si>
  <si>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</si>
  <si>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</si>
  <si>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</si>
  <si>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</si>
  <si>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</si>
  <si>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</si>
  <si>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</si>
  <si>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</si>
  <si>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</si>
  <si>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</si>
  <si>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</si>
  <si>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</si>
  <si>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</si>
  <si>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</si>
  <si>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</si>
  <si>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</si>
  <si>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</si>
  <si>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</si>
  <si>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</si>
  <si>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</si>
  <si>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</si>
  <si>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</si>
  <si>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</si>
  <si>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</si>
  <si>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</si>
  <si>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</si>
  <si>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</si>
  <si>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</si>
  <si>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</si>
  <si>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</si>
  <si>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</si>
  <si>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</si>
  <si>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</si>
  <si>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</si>
  <si>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</si>
  <si>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</si>
  <si>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</si>
  <si>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</si>
  <si>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</si>
  <si>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</si>
  <si>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</si>
  <si>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</si>
  <si>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</si>
  <si>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</si>
  <si>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</si>
  <si>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</si>
  <si>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</si>
  <si>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</si>
  <si>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</si>
  <si>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</si>
  <si>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</si>
  <si>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</si>
  <si>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</si>
  <si>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</si>
  <si>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</si>
  <si>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</si>
  <si>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</si>
  <si>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</si>
  <si>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</si>
  <si>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</si>
  <si>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</si>
  <si>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</si>
  <si>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</si>
  <si>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</si>
  <si>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</si>
  <si>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</si>
  <si>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</si>
  <si>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</si>
  <si>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</si>
  <si>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</si>
  <si>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</si>
  <si>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</si>
  <si>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</si>
  <si>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</si>
  <si>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</si>
  <si>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</si>
  <si>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</si>
  <si>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</si>
  <si>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</si>
  <si>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</si>
  <si>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</si>
  <si>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</si>
  <si>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</si>
  <si>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</si>
  <si>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</si>
  <si>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</si>
  <si>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</si>
  <si>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</si>
  <si>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</si>
  <si>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</si>
  <si>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</si>
  <si>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</si>
  <si>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</si>
  <si>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</si>
  <si>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</si>
  <si>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</si>
  <si>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</si>
  <si>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</si>
  <si>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</si>
  <si>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</si>
  <si>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</si>
  <si>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</si>
  <si>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</si>
  <si>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</si>
  <si>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</si>
  <si>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</si>
  <si>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</si>
  <si>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</si>
  <si>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</si>
  <si>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</si>
  <si>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</si>
  <si>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</si>
  <si>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</si>
  <si>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</si>
  <si>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</si>
  <si>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</si>
  <si>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</si>
  <si>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</si>
  <si>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</si>
  <si>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</si>
  <si>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</si>
  <si>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</si>
  <si>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</si>
  <si>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</si>
  <si>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</si>
  <si>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</si>
  <si>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</si>
  <si>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</si>
  <si>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</si>
  <si>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</si>
  <si>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</si>
  <si>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</si>
  <si>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</si>
  <si>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</si>
  <si>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</si>
  <si>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</si>
  <si>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</si>
  <si>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</si>
  <si>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</si>
  <si>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</si>
  <si>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</si>
  <si>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</si>
  <si>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</si>
  <si>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</si>
  <si>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</si>
  <si>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</si>
  <si>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</si>
  <si>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</si>
  <si>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</si>
  <si>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</si>
  <si>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</si>
  <si>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</si>
  <si>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</si>
  <si>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</si>
  <si>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</si>
  <si>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</si>
  <si>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</si>
  <si>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</si>
  <si>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</si>
  <si>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</si>
  <si>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</si>
  <si>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</si>
  <si>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</si>
  <si>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</si>
  <si>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</si>
  <si>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</si>
  <si>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</si>
  <si>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</si>
  <si>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</si>
  <si>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</si>
  <si>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</si>
  <si>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</si>
  <si>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</si>
  <si>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</si>
  <si>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</si>
  <si>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</si>
  <si>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</si>
  <si>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</si>
  <si>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</si>
  <si>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</si>
  <si>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</si>
  <si>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</si>
  <si>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</si>
  <si>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</si>
  <si>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</si>
  <si>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</si>
  <si>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</si>
  <si>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</si>
  <si>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</si>
  <si>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</si>
  <si>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</si>
  <si>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</si>
  <si>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</si>
  <si>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</si>
  <si>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</si>
  <si>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</si>
  <si>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</si>
  <si>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</si>
  <si>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</si>
  <si>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</si>
  <si>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</si>
  <si>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</si>
  <si>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</si>
  <si>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</si>
  <si>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</si>
  <si>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</si>
  <si>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</si>
  <si>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</si>
  <si>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</si>
  <si>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</si>
  <si>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</si>
  <si>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</si>
  <si>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</si>
  <si>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</si>
  <si>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</si>
  <si>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</si>
  <si>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</si>
  <si>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</si>
  <si>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</si>
  <si>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</si>
  <si>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</si>
  <si>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Sum of Amount</t>
  </si>
  <si>
    <t>Count of TX ID</t>
  </si>
  <si>
    <t>Sum of Quantity</t>
  </si>
  <si>
    <t>total order</t>
  </si>
  <si>
    <t>amount</t>
  </si>
  <si>
    <t>quantity</t>
  </si>
  <si>
    <t>rating</t>
  </si>
  <si>
    <t>days to deliver</t>
  </si>
  <si>
    <t>Average of Rating C</t>
  </si>
  <si>
    <t>Average of Days to Deliver</t>
  </si>
  <si>
    <t>Column Labels</t>
  </si>
  <si>
    <t>Female</t>
  </si>
  <si>
    <t>Male</t>
  </si>
  <si>
    <t>Other</t>
  </si>
  <si>
    <t>Unknown</t>
  </si>
  <si>
    <t>for matrix</t>
  </si>
  <si>
    <t>6 to 10</t>
  </si>
  <si>
    <t>1</t>
  </si>
  <si>
    <t>2</t>
  </si>
  <si>
    <t>3</t>
  </si>
  <si>
    <t>4</t>
  </si>
  <si>
    <t>5</t>
  </si>
  <si>
    <t>more than 10</t>
  </si>
  <si>
    <t>in qty</t>
  </si>
  <si>
    <t>in amt</t>
  </si>
  <si>
    <t>Jan</t>
  </si>
  <si>
    <t>Feb</t>
  </si>
  <si>
    <t>Mar</t>
  </si>
  <si>
    <t>Sum of Days to Deliver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</si>
</sst>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540A]#,##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0" fontId="0" fillId="0" borderId="1" xfId="0" applyBorder="1" applyAlignment="1">
      <alignment horizontal="center" vertical="center"/>
    </xf>
    <xf numFmtId="165" fontId="0" fillId="0" borderId="1" xfId="0" applyNumberFormat="1" applyBorder="1" applyAlignment="1">
      <alignment horizontal="center" vertical="center"/>
    </xf>
    <xf numFmtId="15" fontId="0" fillId="0" borderId="0" xfId="0" applyNumberFormat="1" applyAlignment="1">
      <alignment horizontal="left"/>
    </xf>
  </cellXfs>
  <cellStyles count="1">
    <cellStyle name="Normal" xfId="0" builtinId="0"/>
  </cellStyles>
  <dxfs count="6">
    <dxf>
      <numFmt numFmtId="0" formatCode="General"/>
    </dxf>
    <dxf>
      <numFmt numFmtId="0" formatCode="General"/>
    </dxf>
    <dxf>
      <numFmt numFmtId="0" formatCode="General"/>
    </dxf>
    <dxf>
      <numFmt numFmtId="166" formatCode="d\-mmm\-yy"/>
    </dxf>
    <dxf>
      <numFmt numFmtId="166" formatCode="d\-mmm\-yy"/>
    </dxf>
    <dxf>
      <numFmt numFmtId="164" formatCode="[$$-540A]#,##0"/>
    </dxf>
  </dxfs>
  <tableStyles count="0" defaultTableStyle="TableStyleMedium2" defaultPivotStyle="PivotStyleLight16"/>
  <colors>
    <mruColors>
      <color rgb="FFAAC8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[ecommerce-project.xlsx]Sheet1!pvtDur</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Sheet1!$B$11</c:f>
              <c:strCache>
                <c:ptCount val="1"/>
                <c:pt idx="0">
                  <c:v>Sum of Quantity</c:v>
                </c:pt>
              </c:strCache>
            </c:strRef>
          </c:tx>
          <c:spPr>
            <a:ln w="28575" cap="rnd">
              <a:solidFill>
                <a:schemeClr val="accent1"/>
              </a:solidFill>
              <a:round/>
            </a:ln>
            <a:effectLst/>
          </c:spPr>
          <c:marker>
            <c:symbol val="none"/>
          </c:marker>
          <c:cat>
            <c:strRef>
              <c:f>Sheet1!$A$12:$A$25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ser>
        <c:dLbls>
          <c:showLegendKey val="0"/>
          <c:showVal val="0"/>
          <c:showCatName val="0"/>
          <c:showSerName val="0"/>
          <c:showPercent val="0"/>
          <c:showBubbleSize val="0"/>
        </c:dLbls>
        <c:marker val="1"/>
        <c:smooth val="0"/>
        <c:axId val="139435232"/>
        <c:axId val="139422720"/>
      </c:lineChart>
      <c:lineChart>
        <c:grouping val="standard"/>
        <c:varyColors val="0"/>
        <c:ser>
          <c:idx val="1"/>
          <c:order val="1"/>
          <c:tx>
            <c:strRef>
              <c:f>Sheet1!$C$11</c:f>
              <c:strCache>
                <c:ptCount val="1"/>
                <c:pt idx="0">
                  <c:v>Sum of Amount</c:v>
                </c:pt>
              </c:strCache>
            </c:strRef>
          </c:tx>
          <c:spPr>
            <a:ln w="28575" cap="rnd">
              <a:solidFill>
                <a:schemeClr val="accent2"/>
              </a:solidFill>
              <a:round/>
            </a:ln>
            <a:effectLst/>
          </c:spPr>
          <c:marker>
            <c:symbol val="none"/>
          </c:marker>
          <c:cat>
            <c:strRef>
              <c:f>Sheet1!$A$12:$A$25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Sheet1!$C$12:$C$25</c:f>
              <c:numCache>
                <c:formatCode>[$$-540A]#,##0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ser>
        <c:dLbls>
          <c:showLegendKey val="0"/>
          <c:showVal val="0"/>
          <c:showCatName val="0"/>
          <c:showSerName val="0"/>
          <c:showPercent val="0"/>
          <c:showBubbleSize val="0"/>
        </c:dLbls>
        <c:marker val="1"/>
        <c:smooth val="0"/>
        <c:axId val="138175312"/>
        <c:axId val="139423808"/>
      </c:lineChart>
      <c:catAx>
        <c:axId val="13943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2720"/>
        <c:crosses val="autoZero"/>
        <c:auto val="1"/>
        <c:lblAlgn val="ctr"/>
        <c:lblOffset val="100"/>
        <c:noMultiLvlLbl val="0"/>
      </c:catAx>
      <c:valAx>
        <c:axId val="13942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35232"/>
        <c:crosses val="autoZero"/>
        <c:crossBetween val="between"/>
      </c:valAx>
      <c:valAx>
        <c:axId val="139423808"/>
        <c:scaling>
          <c:orientation val="minMax"/>
        </c:scaling>
        <c:delete val="0"/>
        <c:axPos val="r"/>
        <c:numFmt formatCode="[$$-540A]#,##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5312"/>
        <c:crosses val="max"/>
        <c:crossBetween val="between"/>
      </c:valAx>
      <c:catAx>
        <c:axId val="138175312"/>
        <c:scaling>
          <c:orientation val="minMax"/>
        </c:scaling>
        <c:delete val="1"/>
        <c:axPos val="b"/>
        <c:numFmt formatCode="General" sourceLinked="1"/>
        <c:majorTickMark val="out"/>
        <c:minorTickMark val="none"/>
        <c:tickLblPos val="nextTo"/>
        <c:crossAx val="139423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[ecommerce-project.xlsx]Sheet3!pvtPro</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7"/>
                <c:pt idx="0">
                  <c:v>1</c:v>
                </c:pt>
                <c:pt idx="1">
                  <c:v>2</c:v>
                </c:pt>
                <c:pt idx="2">
                  <c:v>3</c:v>
                </c:pt>
                <c:pt idx="3">
                  <c:v>4</c:v>
                </c:pt>
                <c:pt idx="4">
                  <c:v>5</c:v>
                </c:pt>
                <c:pt idx="5">
                  <c:v>6 to 10</c:v>
                </c:pt>
                <c:pt idx="6">
                  <c:v>more than 10</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ser>
        <c:dLbls>
          <c:showLegendKey val="0"/>
          <c:showVal val="0"/>
          <c:showCatName val="0"/>
          <c:showSerName val="0"/>
          <c:showPercent val="0"/>
          <c:showBubbleSize val="0"/>
        </c:dLbls>
        <c:gapWidth val="219"/>
        <c:overlap val="-27"/>
        <c:axId val="138170960"/>
        <c:axId val="297155968"/>
      </c:barChart>
      <c:catAx>
        <c:axId val="13817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55968"/>
        <c:crosses val="autoZero"/>
        <c:auto val="1"/>
        <c:lblAlgn val="ctr"/>
        <c:lblOffset val="100"/>
        <c:noMultiLvlLbl val="0"/>
      </c:catAx>
      <c:valAx>
        <c:axId val="29715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[ecommerce-project.xlsx]Sheet4!PivotTable1</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142286669611845"/>
          <c:y val="5.8200786339548886E-2"/>
          <c:w val="0.32110738632918412"/>
          <c:h val="0.78767004172797084"/>
        </c:manualLayout>
      </c:layout>
      <c:bar3DChart>
        <c:barDir val="bar"/>
        <c:grouping val="percentStacked"/>
        <c:varyColors val="0"/>
        <c:ser>
          <c:idx val="0"/>
          <c:order val="0"/>
          <c:tx>
            <c:strRef>
              <c:f>Sheet4!$B$3:$B$4</c:f>
              <c:strCache>
                <c:ptCount val="1"/>
                <c:pt idx="0">
                  <c:v>Female</c:v>
                </c:pt>
              </c:strCache>
            </c:strRef>
          </c:tx>
          <c:spPr>
            <a:solidFill>
              <a:schemeClr val="accent1"/>
            </a:solidFill>
            <a:ln>
              <a:noFill/>
            </a:ln>
            <a:effectLst/>
            <a:sp3d/>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ser>
        <c:ser>
          <c:idx val="1"/>
          <c:order val="1"/>
          <c:tx>
            <c:strRef>
              <c:f>Sheet4!$C$3:$C$4</c:f>
              <c:strCache>
                <c:ptCount val="1"/>
                <c:pt idx="0">
                  <c:v>Male</c:v>
                </c:pt>
              </c:strCache>
            </c:strRef>
          </c:tx>
          <c:spPr>
            <a:solidFill>
              <a:schemeClr val="accent2"/>
            </a:solidFill>
            <a:ln>
              <a:noFill/>
            </a:ln>
            <a:effectLst/>
            <a:sp3d/>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ser>
        <c:ser>
          <c:idx val="2"/>
          <c:order val="2"/>
          <c:tx>
            <c:strRef>
              <c:f>Sheet4!$D$3:$D$4</c:f>
              <c:strCache>
                <c:ptCount val="1"/>
                <c:pt idx="0">
                  <c:v>Other</c:v>
                </c:pt>
              </c:strCache>
            </c:strRef>
          </c:tx>
          <c:spPr>
            <a:solidFill>
              <a:schemeClr val="accent3"/>
            </a:solidFill>
            <a:ln>
              <a:noFill/>
            </a:ln>
            <a:effectLst/>
            <a:sp3d/>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ser>
        <c:ser>
          <c:idx val="3"/>
          <c:order val="3"/>
          <c:tx>
            <c:strRef>
              <c:f>Sheet4!$E$3:$E$4</c:f>
              <c:strCache>
                <c:ptCount val="1"/>
                <c:pt idx="0">
                  <c:v>Unknown</c:v>
                </c:pt>
              </c:strCache>
            </c:strRef>
          </c:tx>
          <c:spPr>
            <a:solidFill>
              <a:schemeClr val="accent4"/>
            </a:solidFill>
            <a:ln>
              <a:noFill/>
            </a:ln>
            <a:effectLst/>
            <a:sp3d/>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ser>
        <c:dLbls>
          <c:showLegendKey val="0"/>
          <c:showVal val="0"/>
          <c:showCatName val="0"/>
          <c:showSerName val="0"/>
          <c:showPercent val="0"/>
          <c:showBubbleSize val="0"/>
        </c:dLbls>
        <c:gapWidth val="150"/>
        <c:shape val="box"/>
        <c:axId val="297154336"/>
        <c:axId val="297153248"/>
        <c:axId val="0"/>
      </c:bar3DChart>
      <c:catAx>
        <c:axId val="29715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53248"/>
        <c:crosses val="autoZero"/>
        <c:auto val="1"/>
        <c:lblAlgn val="ctr"/>
        <c:lblOffset val="100"/>
        <c:noMultiLvlLbl val="0"/>
      </c:catAx>
      <c:valAx>
        <c:axId val="2971532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5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[ecommerce-project.xlsx]Sheet4!PivotTable2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Sheet4!$M$4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Sheet4!$L$5:$L$9</c:f>
              <c:strCache>
                <c:ptCount val="4"/>
                <c:pt idx="0">
                  <c:v>Female</c:v>
                </c:pt>
                <c:pt idx="1">
                  <c:v>Male</c:v>
                </c:pt>
                <c:pt idx="2">
                  <c:v>Other</c:v>
                </c:pt>
                <c:pt idx="3">
                  <c:v>Unknown</c:v>
                </c:pt>
              </c:strCache>
            </c:strRef>
          </c:cat>
          <c:val>
            <c:numRef>
              <c:f>Sheet4!$M$5:$M$9</c:f>
              <c:numCache>
                <c:formatCode>General</c:formatCode>
                <c:ptCount val="4"/>
                <c:pt idx="0">
                  <c:v>6272</c:v>
                </c:pt>
                <c:pt idx="1">
                  <c:v>4672</c:v>
                </c:pt>
                <c:pt idx="2">
                  <c:v>317</c:v>
                </c:pt>
                <c:pt idx="3">
                  <c:v>736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[ecommerce-project.xlsx]Sheet5!PivotTable3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percentStacked"/>
        <c:varyColors val="0"/>
        <c:ser>
          <c:idx val="0"/>
          <c:order val="0"/>
          <c:tx>
            <c:strRef>
              <c:f>Sheet5!$C$3</c:f>
              <c:strCache>
                <c:ptCount val="1"/>
                <c:pt idx="0">
                  <c:v>Sum of Quantity</c:v>
                </c:pt>
              </c:strCache>
            </c:strRef>
          </c:tx>
          <c:spPr>
            <a:solidFill>
              <a:schemeClr val="accent1"/>
            </a:solidFill>
            <a:ln>
              <a:noFill/>
            </a:ln>
            <a:effectLst/>
          </c:spPr>
          <c:invertIfNegative val="0"/>
          <c:cat>
            <c:multiLvlStrRef>
              <c:f>Sheet5!$A$4:$B$61</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Sheet5!$C$4:$C$61</c:f>
              <c:numCache>
                <c:formatCode>General</c:formatCode>
                <c:ptCount val="58"/>
                <c:pt idx="0">
                  <c:v>579</c:v>
                </c:pt>
                <c:pt idx="1">
                  <c:v>1</c:v>
                </c:pt>
                <c:pt idx="2">
                  <c:v>9</c:v>
                </c:pt>
                <c:pt idx="3">
                  <c:v>35</c:v>
                </c:pt>
                <c:pt idx="4">
                  <c:v>12</c:v>
                </c:pt>
                <c:pt idx="5">
                  <c:v>4</c:v>
                </c:pt>
                <c:pt idx="6">
                  <c:v>341</c:v>
                </c:pt>
                <c:pt idx="7">
                  <c:v>13</c:v>
                </c:pt>
                <c:pt idx="8">
                  <c:v>31</c:v>
                </c:pt>
                <c:pt idx="9">
                  <c:v>279</c:v>
                </c:pt>
                <c:pt idx="10">
                  <c:v>9</c:v>
                </c:pt>
                <c:pt idx="11">
                  <c:v>49</c:v>
                </c:pt>
                <c:pt idx="12">
                  <c:v>59</c:v>
                </c:pt>
                <c:pt idx="13">
                  <c:v>8</c:v>
                </c:pt>
                <c:pt idx="14">
                  <c:v>222</c:v>
                </c:pt>
                <c:pt idx="15">
                  <c:v>36</c:v>
                </c:pt>
                <c:pt idx="16">
                  <c:v>30</c:v>
                </c:pt>
                <c:pt idx="17">
                  <c:v>1</c:v>
                </c:pt>
                <c:pt idx="18">
                  <c:v>3991</c:v>
                </c:pt>
                <c:pt idx="19">
                  <c:v>45</c:v>
                </c:pt>
                <c:pt idx="20">
                  <c:v>39</c:v>
                </c:pt>
                <c:pt idx="21">
                  <c:v>6</c:v>
                </c:pt>
                <c:pt idx="22">
                  <c:v>9</c:v>
                </c:pt>
                <c:pt idx="23">
                  <c:v>60</c:v>
                </c:pt>
                <c:pt idx="24">
                  <c:v>2</c:v>
                </c:pt>
                <c:pt idx="25">
                  <c:v>4</c:v>
                </c:pt>
                <c:pt idx="26">
                  <c:v>31</c:v>
                </c:pt>
                <c:pt idx="27">
                  <c:v>88</c:v>
                </c:pt>
                <c:pt idx="28">
                  <c:v>25</c:v>
                </c:pt>
                <c:pt idx="29">
                  <c:v>178</c:v>
                </c:pt>
                <c:pt idx="30">
                  <c:v>141</c:v>
                </c:pt>
                <c:pt idx="31">
                  <c:v>6</c:v>
                </c:pt>
                <c:pt idx="32">
                  <c:v>178</c:v>
                </c:pt>
                <c:pt idx="33">
                  <c:v>699</c:v>
                </c:pt>
                <c:pt idx="34">
                  <c:v>23</c:v>
                </c:pt>
                <c:pt idx="35">
                  <c:v>356</c:v>
                </c:pt>
                <c:pt idx="36">
                  <c:v>1768</c:v>
                </c:pt>
                <c:pt idx="37">
                  <c:v>307</c:v>
                </c:pt>
                <c:pt idx="38">
                  <c:v>117</c:v>
                </c:pt>
                <c:pt idx="39">
                  <c:v>13</c:v>
                </c:pt>
                <c:pt idx="40">
                  <c:v>364</c:v>
                </c:pt>
                <c:pt idx="41">
                  <c:v>95</c:v>
                </c:pt>
                <c:pt idx="42">
                  <c:v>737</c:v>
                </c:pt>
                <c:pt idx="43">
                  <c:v>39</c:v>
                </c:pt>
                <c:pt idx="44">
                  <c:v>56</c:v>
                </c:pt>
                <c:pt idx="45">
                  <c:v>2</c:v>
                </c:pt>
                <c:pt idx="46">
                  <c:v>8</c:v>
                </c:pt>
                <c:pt idx="47">
                  <c:v>52</c:v>
                </c:pt>
                <c:pt idx="48">
                  <c:v>295</c:v>
                </c:pt>
                <c:pt idx="49">
                  <c:v>195</c:v>
                </c:pt>
                <c:pt idx="50">
                  <c:v>20</c:v>
                </c:pt>
                <c:pt idx="51">
                  <c:v>6</c:v>
                </c:pt>
                <c:pt idx="52">
                  <c:v>5</c:v>
                </c:pt>
                <c:pt idx="53">
                  <c:v>94</c:v>
                </c:pt>
                <c:pt idx="54">
                  <c:v>28</c:v>
                </c:pt>
                <c:pt idx="55">
                  <c:v>179</c:v>
                </c:pt>
                <c:pt idx="56">
                  <c:v>15</c:v>
                </c:pt>
                <c:pt idx="57">
                  <c:v>3</c:v>
                </c:pt>
              </c:numCache>
            </c:numRef>
          </c:val>
        </c:ser>
        <c:ser>
          <c:idx val="1"/>
          <c:order val="1"/>
          <c:tx>
            <c:strRef>
              <c:f>Sheet5!$D$3</c:f>
              <c:strCache>
                <c:ptCount val="1"/>
                <c:pt idx="0">
                  <c:v>Sum of Amount</c:v>
                </c:pt>
              </c:strCache>
            </c:strRef>
          </c:tx>
          <c:spPr>
            <a:solidFill>
              <a:schemeClr val="accent2"/>
            </a:solidFill>
            <a:ln>
              <a:noFill/>
            </a:ln>
            <a:effectLst/>
          </c:spPr>
          <c:invertIfNegative val="0"/>
          <c:cat>
            <c:multiLvlStrRef>
              <c:f>Sheet5!$A$4:$B$61</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Sheet5!$D$4:$D$61</c:f>
              <c:numCache>
                <c:formatCode>General</c:formatCode>
                <c:ptCount val="58"/>
                <c:pt idx="0">
                  <c:v>31884.999999999996</c:v>
                </c:pt>
                <c:pt idx="1">
                  <c:v>10.9</c:v>
                </c:pt>
                <c:pt idx="2">
                  <c:v>800.3</c:v>
                </c:pt>
                <c:pt idx="3">
                  <c:v>1062.5999999999999</c:v>
                </c:pt>
                <c:pt idx="4">
                  <c:v>326.20000000000005</c:v>
                </c:pt>
                <c:pt idx="5">
                  <c:v>167.5</c:v>
                </c:pt>
                <c:pt idx="6">
                  <c:v>16168.7</c:v>
                </c:pt>
                <c:pt idx="7">
                  <c:v>322.40000000000003</c:v>
                </c:pt>
                <c:pt idx="8">
                  <c:v>2092.8000000000002</c:v>
                </c:pt>
                <c:pt idx="9">
                  <c:v>12662.500000000002</c:v>
                </c:pt>
                <c:pt idx="10">
                  <c:v>343.2</c:v>
                </c:pt>
                <c:pt idx="11">
                  <c:v>2188.2999999999997</c:v>
                </c:pt>
                <c:pt idx="12">
                  <c:v>2661.5999999999995</c:v>
                </c:pt>
                <c:pt idx="13">
                  <c:v>887.5</c:v>
                </c:pt>
                <c:pt idx="14">
                  <c:v>11354.199999999993</c:v>
                </c:pt>
                <c:pt idx="15">
                  <c:v>1558.4</c:v>
                </c:pt>
                <c:pt idx="16">
                  <c:v>2223.9</c:v>
                </c:pt>
                <c:pt idx="17">
                  <c:v>26.2</c:v>
                </c:pt>
                <c:pt idx="18">
                  <c:v>215551.19999999981</c:v>
                </c:pt>
                <c:pt idx="19">
                  <c:v>2687.3999999999996</c:v>
                </c:pt>
                <c:pt idx="20">
                  <c:v>1463.3000000000002</c:v>
                </c:pt>
                <c:pt idx="21">
                  <c:v>445.79999999999995</c:v>
                </c:pt>
                <c:pt idx="22">
                  <c:v>273.59999999999997</c:v>
                </c:pt>
                <c:pt idx="23">
                  <c:v>2690.4</c:v>
                </c:pt>
                <c:pt idx="24">
                  <c:v>28.4</c:v>
                </c:pt>
                <c:pt idx="25">
                  <c:v>204.8</c:v>
                </c:pt>
                <c:pt idx="26">
                  <c:v>1607.8999999999999</c:v>
                </c:pt>
                <c:pt idx="27">
                  <c:v>6444.9</c:v>
                </c:pt>
                <c:pt idx="28">
                  <c:v>1809.3</c:v>
                </c:pt>
                <c:pt idx="29">
                  <c:v>9680.399999999996</c:v>
                </c:pt>
                <c:pt idx="30">
                  <c:v>9414.7999999999993</c:v>
                </c:pt>
                <c:pt idx="31">
                  <c:v>206.1</c:v>
                </c:pt>
                <c:pt idx="32">
                  <c:v>7691.3</c:v>
                </c:pt>
                <c:pt idx="33">
                  <c:v>37784.900000000016</c:v>
                </c:pt>
                <c:pt idx="34">
                  <c:v>1129.7</c:v>
                </c:pt>
                <c:pt idx="35">
                  <c:v>20988.9</c:v>
                </c:pt>
                <c:pt idx="36">
                  <c:v>98367.099999999977</c:v>
                </c:pt>
                <c:pt idx="37">
                  <c:v>21911.9</c:v>
                </c:pt>
                <c:pt idx="38">
                  <c:v>5441.2</c:v>
                </c:pt>
                <c:pt idx="39">
                  <c:v>392.8</c:v>
                </c:pt>
                <c:pt idx="40">
                  <c:v>16172.000000000005</c:v>
                </c:pt>
                <c:pt idx="41">
                  <c:v>4334.9999999999991</c:v>
                </c:pt>
                <c:pt idx="42">
                  <c:v>37449.000000000007</c:v>
                </c:pt>
                <c:pt idx="43">
                  <c:v>2447.5</c:v>
                </c:pt>
                <c:pt idx="44">
                  <c:v>3391.1</c:v>
                </c:pt>
                <c:pt idx="45">
                  <c:v>30.8</c:v>
                </c:pt>
                <c:pt idx="46">
                  <c:v>332.3</c:v>
                </c:pt>
                <c:pt idx="47">
                  <c:v>3175.9999999999995</c:v>
                </c:pt>
                <c:pt idx="48">
                  <c:v>20939.600000000002</c:v>
                </c:pt>
                <c:pt idx="49">
                  <c:v>10185.899999999996</c:v>
                </c:pt>
                <c:pt idx="50">
                  <c:v>958.7</c:v>
                </c:pt>
                <c:pt idx="51">
                  <c:v>323</c:v>
                </c:pt>
                <c:pt idx="52">
                  <c:v>167.70000000000002</c:v>
                </c:pt>
                <c:pt idx="53">
                  <c:v>3978.5</c:v>
                </c:pt>
                <c:pt idx="54">
                  <c:v>1405</c:v>
                </c:pt>
                <c:pt idx="55">
                  <c:v>9869.0999999999985</c:v>
                </c:pt>
                <c:pt idx="56">
                  <c:v>615.29999999999995</c:v>
                </c:pt>
                <c:pt idx="57">
                  <c:v>285</c:v>
                </c:pt>
              </c:numCache>
            </c:numRef>
          </c:val>
        </c:ser>
        <c:dLbls>
          <c:showLegendKey val="0"/>
          <c:showVal val="0"/>
          <c:showCatName val="0"/>
          <c:showSerName val="0"/>
          <c:showPercent val="0"/>
          <c:showBubbleSize val="0"/>
        </c:dLbls>
        <c:gapWidth val="150"/>
        <c:overlap val="100"/>
        <c:axId val="297160320"/>
        <c:axId val="297164128"/>
      </c:barChart>
      <c:catAx>
        <c:axId val="29716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64128"/>
        <c:crosses val="autoZero"/>
        <c:auto val="1"/>
        <c:lblAlgn val="ctr"/>
        <c:lblOffset val="100"/>
        <c:noMultiLvlLbl val="0"/>
      </c:catAx>
      <c:valAx>
        <c:axId val="2971641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6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[ecommerce-project.xlsx]Sheet6!PivotTable7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Sheet6!$B$21:$B$22</c:f>
              <c:strCache>
                <c:ptCount val="1"/>
                <c:pt idx="0">
                  <c:v>1</c:v>
                </c:pt>
              </c:strCache>
            </c:strRef>
          </c:tx>
          <c:spPr>
            <a:solidFill>
              <a:schemeClr val="accent1"/>
            </a:solidFill>
            <a:ln>
              <a:noFill/>
            </a:ln>
            <a:effectLst/>
          </c:spPr>
          <c:invertIfNegative val="0"/>
          <c:cat>
            <c:strRef>
              <c:f>Sheet6!$A$23:$A$26</c:f>
              <c:strCache>
                <c:ptCount val="3"/>
                <c:pt idx="0">
                  <c:v>Jan</c:v>
                </c:pt>
                <c:pt idx="1">
                  <c:v>Feb</c:v>
                </c:pt>
                <c:pt idx="2">
                  <c:v>Mar</c:v>
                </c:pt>
              </c:strCache>
            </c:strRef>
          </c:cat>
          <c:val>
            <c:numRef>
              <c:f>Sheet6!$B$23:$B$26</c:f>
              <c:numCache>
                <c:formatCode>General</c:formatCode>
                <c:ptCount val="3"/>
                <c:pt idx="0">
                  <c:v>7</c:v>
                </c:pt>
                <c:pt idx="1">
                  <c:v>8</c:v>
                </c:pt>
                <c:pt idx="2">
                  <c:v>6</c:v>
                </c:pt>
              </c:numCache>
            </c:numRef>
          </c:val>
        </c:ser>
        <c:ser>
          <c:idx val="1"/>
          <c:order val="1"/>
          <c:tx>
            <c:strRef>
              <c:f>Sheet6!$C$21:$C$22</c:f>
              <c:strCache>
                <c:ptCount val="1"/>
                <c:pt idx="0">
                  <c:v>2</c:v>
                </c:pt>
              </c:strCache>
            </c:strRef>
          </c:tx>
          <c:spPr>
            <a:solidFill>
              <a:schemeClr val="accent2"/>
            </a:solidFill>
            <a:ln>
              <a:noFill/>
            </a:ln>
            <a:effectLst/>
          </c:spPr>
          <c:invertIfNegative val="0"/>
          <c:cat>
            <c:strRef>
              <c:f>Sheet6!$A$23:$A$26</c:f>
              <c:strCache>
                <c:ptCount val="3"/>
                <c:pt idx="0">
                  <c:v>Jan</c:v>
                </c:pt>
                <c:pt idx="1">
                  <c:v>Feb</c:v>
                </c:pt>
                <c:pt idx="2">
                  <c:v>Mar</c:v>
                </c:pt>
              </c:strCache>
            </c:strRef>
          </c:cat>
          <c:val>
            <c:numRef>
              <c:f>Sheet6!$C$23:$C$26</c:f>
              <c:numCache>
                <c:formatCode>General</c:formatCode>
                <c:ptCount val="3"/>
                <c:pt idx="0">
                  <c:v>37</c:v>
                </c:pt>
                <c:pt idx="1">
                  <c:v>51</c:v>
                </c:pt>
                <c:pt idx="2">
                  <c:v>39</c:v>
                </c:pt>
              </c:numCache>
            </c:numRef>
          </c:val>
        </c:ser>
        <c:ser>
          <c:idx val="2"/>
          <c:order val="2"/>
          <c:tx>
            <c:strRef>
              <c:f>Sheet6!$D$21:$D$22</c:f>
              <c:strCache>
                <c:ptCount val="1"/>
                <c:pt idx="0">
                  <c:v>3</c:v>
                </c:pt>
              </c:strCache>
            </c:strRef>
          </c:tx>
          <c:spPr>
            <a:solidFill>
              <a:schemeClr val="accent3"/>
            </a:solidFill>
            <a:ln>
              <a:noFill/>
            </a:ln>
            <a:effectLst/>
          </c:spPr>
          <c:invertIfNegative val="0"/>
          <c:cat>
            <c:strRef>
              <c:f>Sheet6!$A$23:$A$26</c:f>
              <c:strCache>
                <c:ptCount val="3"/>
                <c:pt idx="0">
                  <c:v>Jan</c:v>
                </c:pt>
                <c:pt idx="1">
                  <c:v>Feb</c:v>
                </c:pt>
                <c:pt idx="2">
                  <c:v>Mar</c:v>
                </c:pt>
              </c:strCache>
            </c:strRef>
          </c:cat>
          <c:val>
            <c:numRef>
              <c:f>Sheet6!$D$23:$D$26</c:f>
              <c:numCache>
                <c:formatCode>General</c:formatCode>
                <c:ptCount val="3"/>
                <c:pt idx="0">
                  <c:v>150</c:v>
                </c:pt>
                <c:pt idx="1">
                  <c:v>182</c:v>
                </c:pt>
                <c:pt idx="2">
                  <c:v>163</c:v>
                </c:pt>
              </c:numCache>
            </c:numRef>
          </c:val>
        </c:ser>
        <c:ser>
          <c:idx val="3"/>
          <c:order val="3"/>
          <c:tx>
            <c:strRef>
              <c:f>Sheet6!$E$21:$E$22</c:f>
              <c:strCache>
                <c:ptCount val="1"/>
                <c:pt idx="0">
                  <c:v>4</c:v>
                </c:pt>
              </c:strCache>
            </c:strRef>
          </c:tx>
          <c:spPr>
            <a:solidFill>
              <a:schemeClr val="accent4"/>
            </a:solidFill>
            <a:ln>
              <a:noFill/>
            </a:ln>
            <a:effectLst/>
          </c:spPr>
          <c:invertIfNegative val="0"/>
          <c:cat>
            <c:strRef>
              <c:f>Sheet6!$A$23:$A$26</c:f>
              <c:strCache>
                <c:ptCount val="3"/>
                <c:pt idx="0">
                  <c:v>Jan</c:v>
                </c:pt>
                <c:pt idx="1">
                  <c:v>Feb</c:v>
                </c:pt>
                <c:pt idx="2">
                  <c:v>Mar</c:v>
                </c:pt>
              </c:strCache>
            </c:strRef>
          </c:cat>
          <c:val>
            <c:numRef>
              <c:f>Sheet6!$E$23:$E$26</c:f>
              <c:numCache>
                <c:formatCode>General</c:formatCode>
                <c:ptCount val="3"/>
                <c:pt idx="0">
                  <c:v>312</c:v>
                </c:pt>
                <c:pt idx="1">
                  <c:v>373</c:v>
                </c:pt>
                <c:pt idx="2">
                  <c:v>351</c:v>
                </c:pt>
              </c:numCache>
            </c:numRef>
          </c:val>
        </c:ser>
        <c:ser>
          <c:idx val="4"/>
          <c:order val="4"/>
          <c:tx>
            <c:strRef>
              <c:f>Sheet6!$F$21:$F$22</c:f>
              <c:strCache>
                <c:ptCount val="1"/>
                <c:pt idx="0">
                  <c:v>5</c:v>
                </c:pt>
              </c:strCache>
            </c:strRef>
          </c:tx>
          <c:spPr>
            <a:solidFill>
              <a:schemeClr val="accent5"/>
            </a:solidFill>
            <a:ln>
              <a:noFill/>
            </a:ln>
            <a:effectLst/>
          </c:spPr>
          <c:invertIfNegative val="0"/>
          <c:cat>
            <c:strRef>
              <c:f>Sheet6!$A$23:$A$26</c:f>
              <c:strCache>
                <c:ptCount val="3"/>
                <c:pt idx="0">
                  <c:v>Jan</c:v>
                </c:pt>
                <c:pt idx="1">
                  <c:v>Feb</c:v>
                </c:pt>
                <c:pt idx="2">
                  <c:v>Mar</c:v>
                </c:pt>
              </c:strCache>
            </c:strRef>
          </c:cat>
          <c:val>
            <c:numRef>
              <c:f>Sheet6!$F$23:$F$26</c:f>
              <c:numCache>
                <c:formatCode>General</c:formatCode>
                <c:ptCount val="3"/>
                <c:pt idx="0">
                  <c:v>224</c:v>
                </c:pt>
                <c:pt idx="1">
                  <c:v>247</c:v>
                </c:pt>
                <c:pt idx="2">
                  <c:v>250</c:v>
                </c:pt>
              </c:numCache>
            </c:numRef>
          </c:val>
        </c:ser>
        <c:dLbls>
          <c:showLegendKey val="0"/>
          <c:showVal val="0"/>
          <c:showCatName val="0"/>
          <c:showSerName val="0"/>
          <c:showPercent val="0"/>
          <c:showBubbleSize val="0"/>
        </c:dLbls>
        <c:gapWidth val="219"/>
        <c:overlap val="-27"/>
        <c:axId val="297159776"/>
        <c:axId val="297164672"/>
      </c:barChart>
      <c:catAx>
        <c:axId val="29715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64672"/>
        <c:crosses val="autoZero"/>
        <c:auto val="1"/>
        <c:lblAlgn val="ctr"/>
        <c:lblOffset val="100"/>
        <c:noMultiLvlLbl val="0"/>
      </c:catAx>
      <c:valAx>
        <c:axId val="29716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5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ser>
        <c:dLbls>
          <c:showLegendKey val="0"/>
          <c:showVal val="0"/>
          <c:showCatName val="0"/>
          <c:showSerName val="0"/>
          <c:showPercent val="0"/>
          <c:showBubbleSize val="0"/>
        </c:dLbls>
        <c:gapWidth val="219"/>
        <c:overlap val="-27"/>
        <c:axId val="297156512"/>
        <c:axId val="297160864"/>
      </c:barChart>
      <c:catAx>
        <c:axId val="29715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60864"/>
        <c:crosses val="autoZero"/>
        <c:auto val="1"/>
        <c:lblAlgn val="ctr"/>
        <c:lblOffset val="100"/>
        <c:noMultiLvlLbl val="0"/>
      </c:catAx>
      <c:valAx>
        <c:axId val="29716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5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[ecommerce-project.xlsx]Sheet7!PivotTable14</c:name>
    <c:fmtId val="0"/>
  </c:pivotSource>
  <c:chart>
    <c:autoTitleDeleted val="0"/>
    <c:pivotFmts>
      <c:pivotFmt>
        <c:idx val="0"/>
        <c:spPr>
          <a:solidFill>
            <a:schemeClr val="accent6">
              <a:lumMod val="75000"/>
            </a:schemeClr>
          </a:solidFill>
          <a:ln>
            <a:noFill/>
          </a:ln>
          <a:effectLst/>
        </c:spPr>
        <c:marker>
          <c:symbol val="none"/>
        </c:marker>
      </c:pivotFmt>
      <c:pivotFmt>
        <c:idx val="1"/>
        <c:spPr>
          <a:ln w="28575" cap="rnd">
            <a:solidFill>
              <a:srgbClr val="002060"/>
            </a:solidFill>
            <a:round/>
          </a:ln>
          <a:effectLst/>
        </c:spPr>
        <c:marker>
          <c:symbol val="none"/>
        </c:marker>
      </c:pivotFmt>
    </c:pivotFmts>
    <c:plotArea>
      <c:layout/>
      <c:barChart>
        <c:barDir val="col"/>
        <c:grouping val="clustered"/>
        <c:varyColors val="0"/>
        <c:ser>
          <c:idx val="0"/>
          <c:order val="0"/>
          <c:tx>
            <c:strRef>
              <c:f>Sheet7!$B$3</c:f>
              <c:strCache>
                <c:ptCount val="1"/>
                <c:pt idx="0">
                  <c:v>Sum of Days to Deliver</c:v>
                </c:pt>
              </c:strCache>
            </c:strRef>
          </c:tx>
          <c:spPr>
            <a:solidFill>
              <a:schemeClr val="accent6">
                <a:lumMod val="75000"/>
              </a:schemeClr>
            </a:solidFill>
            <a:ln>
              <a:no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0</c:v>
                </c:pt>
                <c:pt idx="1">
                  <c:v>888</c:v>
                </c:pt>
                <c:pt idx="2">
                  <c:v>1076</c:v>
                </c:pt>
                <c:pt idx="3">
                  <c:v>1032</c:v>
                </c:pt>
                <c:pt idx="4">
                  <c:v>800</c:v>
                </c:pt>
                <c:pt idx="5">
                  <c:v>470</c:v>
                </c:pt>
                <c:pt idx="6">
                  <c:v>306</c:v>
                </c:pt>
                <c:pt idx="7">
                  <c:v>224</c:v>
                </c:pt>
                <c:pt idx="8">
                  <c:v>184</c:v>
                </c:pt>
                <c:pt idx="9">
                  <c:v>81</c:v>
                </c:pt>
                <c:pt idx="10">
                  <c:v>80</c:v>
                </c:pt>
                <c:pt idx="11">
                  <c:v>121</c:v>
                </c:pt>
                <c:pt idx="12">
                  <c:v>48</c:v>
                </c:pt>
                <c:pt idx="13">
                  <c:v>130</c:v>
                </c:pt>
                <c:pt idx="14">
                  <c:v>182</c:v>
                </c:pt>
              </c:numCache>
            </c:numRef>
          </c:val>
        </c:ser>
        <c:dLbls>
          <c:showLegendKey val="0"/>
          <c:showVal val="0"/>
          <c:showCatName val="0"/>
          <c:showSerName val="0"/>
          <c:showPercent val="0"/>
          <c:showBubbleSize val="0"/>
        </c:dLbls>
        <c:gapWidth val="219"/>
        <c:overlap val="-27"/>
        <c:axId val="297167392"/>
        <c:axId val="297163584"/>
      </c:barChart>
      <c:lineChart>
        <c:grouping val="standard"/>
        <c:varyColors val="0"/>
        <c:ser>
          <c:idx val="1"/>
          <c:order val="1"/>
          <c:tx>
            <c:strRef>
              <c:f>Sheet7!$C$3</c:f>
              <c:strCache>
                <c:ptCount val="1"/>
                <c:pt idx="0">
                  <c:v>Sum of Amount</c:v>
                </c:pt>
              </c:strCache>
            </c:strRef>
          </c:tx>
          <c:spPr>
            <a:ln w="28575" cap="rnd">
              <a:solidFill>
                <a:srgbClr val="002060"/>
              </a:solidFill>
              <a:round/>
            </a:ln>
            <a:effectLst/>
          </c:spPr>
          <c:marker>
            <c:symbol val="none"/>
          </c:marker>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Sheet7!$C$4:$C$19</c:f>
              <c:numCache>
                <c:formatCode>General</c:formatCode>
                <c:ptCount val="15"/>
                <c:pt idx="0">
                  <c:v>52535.200000000012</c:v>
                </c:pt>
                <c:pt idx="1">
                  <c:v>240164.2999999999</c:v>
                </c:pt>
                <c:pt idx="2">
                  <c:v>152571.70000000001</c:v>
                </c:pt>
                <c:pt idx="3">
                  <c:v>86317.199999999983</c:v>
                </c:pt>
                <c:pt idx="4">
                  <c:v>47295.600000000006</c:v>
                </c:pt>
                <c:pt idx="5">
                  <c:v>28644.7</c:v>
                </c:pt>
                <c:pt idx="6">
                  <c:v>14032.499999999998</c:v>
                </c:pt>
                <c:pt idx="7">
                  <c:v>8816.6000000000022</c:v>
                </c:pt>
                <c:pt idx="8">
                  <c:v>3931.2</c:v>
                </c:pt>
                <c:pt idx="9">
                  <c:v>1462.6999999999998</c:v>
                </c:pt>
                <c:pt idx="10">
                  <c:v>2279.7000000000003</c:v>
                </c:pt>
                <c:pt idx="11">
                  <c:v>2907.1</c:v>
                </c:pt>
                <c:pt idx="12">
                  <c:v>537.79999999999995</c:v>
                </c:pt>
                <c:pt idx="13">
                  <c:v>3084.3999999999996</c:v>
                </c:pt>
                <c:pt idx="14">
                  <c:v>4439.1000000000004</c:v>
                </c:pt>
              </c:numCache>
            </c:numRef>
          </c:val>
          <c:smooth val="0"/>
        </c:ser>
        <c:dLbls>
          <c:showLegendKey val="0"/>
          <c:showVal val="0"/>
          <c:showCatName val="0"/>
          <c:showSerName val="0"/>
          <c:showPercent val="0"/>
          <c:showBubbleSize val="0"/>
        </c:dLbls>
        <c:marker val="1"/>
        <c:smooth val="0"/>
        <c:axId val="297152160"/>
        <c:axId val="297155424"/>
      </c:lineChart>
      <c:catAx>
        <c:axId val="29716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3584"/>
        <c:crosses val="autoZero"/>
        <c:auto val="1"/>
        <c:lblAlgn val="ctr"/>
        <c:lblOffset val="100"/>
        <c:noMultiLvlLbl val="0"/>
      </c:catAx>
      <c:valAx>
        <c:axId val="29716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7392"/>
        <c:crosses val="autoZero"/>
        <c:crossBetween val="between"/>
      </c:valAx>
      <c:valAx>
        <c:axId val="2971554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52160"/>
        <c:crosses val="max"/>
        <c:crossBetween val="between"/>
      </c:valAx>
      <c:catAx>
        <c:axId val="297152160"/>
        <c:scaling>
          <c:orientation val="minMax"/>
        </c:scaling>
        <c:delete val="1"/>
        <c:axPos val="b"/>
        <c:numFmt formatCode="General" sourceLinked="1"/>
        <c:majorTickMark val="out"/>
        <c:minorTickMark val="none"/>
        <c:tickLblPos val="nextTo"/>
        <c:crossAx val="29715542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[ecommerce-project.xlsx]Sheet3!pvtPro</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400" b="0" i="0" u="none" strike="noStrike" baseline="0">
                <a:effectLst/>
                <a:latin typeface="Arial Black" panose="020B0A04020102020204" pitchFamily="34" charset="0"/>
              </a:rPr>
              <a:t>How many they buy</a:t>
            </a:r>
            <a:r>
              <a:rPr lang="en-IN" sz="1400" b="0" i="0" u="none" strike="noStrike" baseline="0">
                <a:latin typeface="Arial Black" panose="020B0A04020102020204" pitchFamily="34" charset="0"/>
              </a:rPr>
              <a:t> </a:t>
            </a:r>
            <a:endParaRPr lang="en-US">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AAC8F4"/>
          </a:solidFill>
          <a:ln>
            <a:noFill/>
          </a:ln>
          <a:effectLst/>
        </c:spPr>
      </c:pivotFmt>
      <c:pivotFmt>
        <c:idx val="7"/>
        <c:spPr>
          <a:solidFill>
            <a:schemeClr val="accent6">
              <a:lumMod val="75000"/>
            </a:schemeClr>
          </a:solidFill>
          <a:ln>
            <a:noFill/>
          </a:ln>
          <a:effectLst/>
        </c:spPr>
      </c:pivotFmt>
      <c:pivotFmt>
        <c:idx val="8"/>
        <c:spPr>
          <a:solidFill>
            <a:schemeClr val="accent6">
              <a:lumMod val="5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20000"/>
              <a:lumOff val="80000"/>
            </a:schemeClr>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dPt>
          <c:dPt>
            <c:idx val="1"/>
            <c:invertIfNegative val="0"/>
            <c:bubble3D val="0"/>
            <c:spPr>
              <a:solidFill>
                <a:schemeClr val="accent6">
                  <a:lumMod val="50000"/>
                </a:schemeClr>
              </a:solidFill>
              <a:ln>
                <a:noFill/>
              </a:ln>
              <a:effectLst/>
            </c:spPr>
          </c:dPt>
          <c:dPt>
            <c:idx val="2"/>
            <c:invertIfNegative val="0"/>
            <c:bubble3D val="0"/>
            <c:spPr>
              <a:solidFill>
                <a:schemeClr val="accent6">
                  <a:lumMod val="60000"/>
                  <a:lumOff val="40000"/>
                </a:schemeClr>
              </a:solidFill>
              <a:ln>
                <a:noFill/>
              </a:ln>
              <a:effectLst/>
            </c:spPr>
          </c:dPt>
          <c:dPt>
            <c:idx val="3"/>
            <c:invertIfNegative val="0"/>
            <c:bubble3D val="0"/>
            <c:spPr>
              <a:solidFill>
                <a:schemeClr val="accent6">
                  <a:lumMod val="40000"/>
                  <a:lumOff val="60000"/>
                </a:schemeClr>
              </a:solidFill>
              <a:ln>
                <a:noFill/>
              </a:ln>
              <a:effectLst/>
            </c:spPr>
          </c:dPt>
          <c:dPt>
            <c:idx val="4"/>
            <c:invertIfNegative val="0"/>
            <c:bubble3D val="0"/>
            <c:spPr>
              <a:solidFill>
                <a:srgbClr val="AAC8F4"/>
              </a:solidFill>
              <a:ln>
                <a:noFill/>
              </a:ln>
              <a:effectLst/>
            </c:spPr>
          </c:dPt>
          <c:dPt>
            <c:idx val="5"/>
            <c:invertIfNegative val="0"/>
            <c:bubble3D val="0"/>
            <c:spPr>
              <a:solidFill>
                <a:schemeClr val="accent6">
                  <a:lumMod val="60000"/>
                  <a:lumOff val="40000"/>
                </a:schemeClr>
              </a:solidFill>
              <a:ln>
                <a:noFill/>
              </a:ln>
              <a:effectLst/>
            </c:spPr>
          </c:dPt>
          <c:dPt>
            <c:idx val="6"/>
            <c:invertIfNegative val="0"/>
            <c:bubble3D val="0"/>
            <c:spPr>
              <a:solidFill>
                <a:schemeClr val="accent6">
                  <a:lumMod val="20000"/>
                  <a:lumOff val="8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1</c:v>
                </c:pt>
                <c:pt idx="1">
                  <c:v>2</c:v>
                </c:pt>
                <c:pt idx="2">
                  <c:v>3</c:v>
                </c:pt>
                <c:pt idx="3">
                  <c:v>4</c:v>
                </c:pt>
                <c:pt idx="4">
                  <c:v>5</c:v>
                </c:pt>
                <c:pt idx="5">
                  <c:v>6 to 10</c:v>
                </c:pt>
                <c:pt idx="6">
                  <c:v>more than 10</c:v>
                </c:pt>
              </c:strCache>
            </c:strRef>
          </c:cat>
          <c:val>
            <c:numRef>
              <c:f>Sheet3!$B$4:$B$11</c:f>
              <c:numCache>
                <c:formatCode>General</c:formatCode>
                <c:ptCount val="7"/>
                <c:pt idx="0">
                  <c:v>397</c:v>
                </c:pt>
                <c:pt idx="1">
                  <c:v>540</c:v>
                </c:pt>
                <c:pt idx="2">
                  <c:v>375</c:v>
                </c:pt>
                <c:pt idx="3">
                  <c:v>246</c:v>
                </c:pt>
                <c:pt idx="4">
                  <c:v>195</c:v>
                </c:pt>
                <c:pt idx="5">
                  <c:v>414</c:v>
                </c:pt>
                <c:pt idx="6">
                  <c:v>233</c:v>
                </c:pt>
              </c:numCache>
            </c:numRef>
          </c:val>
        </c:ser>
        <c:dLbls>
          <c:dLblPos val="outEnd"/>
          <c:showLegendKey val="0"/>
          <c:showVal val="1"/>
          <c:showCatName val="0"/>
          <c:showSerName val="0"/>
          <c:showPercent val="0"/>
          <c:showBubbleSize val="0"/>
        </c:dLbls>
        <c:gapWidth val="0"/>
        <c:overlap val="-27"/>
        <c:axId val="297165216"/>
        <c:axId val="297161952"/>
      </c:barChart>
      <c:catAx>
        <c:axId val="29716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1952"/>
        <c:crosses val="autoZero"/>
        <c:auto val="1"/>
        <c:lblAlgn val="ctr"/>
        <c:lblOffset val="100"/>
        <c:noMultiLvlLbl val="0"/>
      </c:catAx>
      <c:valAx>
        <c:axId val="29716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5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400" b="0" i="0" u="none" strike="noStrike" baseline="0">
                <a:effectLst/>
                <a:latin typeface="Arial Black" panose="020B0A04020102020204" pitchFamily="34" charset="0"/>
              </a:rPr>
              <a:t>Which products are popular? in gender</a:t>
            </a:r>
            <a:r>
              <a:rPr lang="en-IN" sz="1400" b="0" i="0" u="none" strike="noStrike" baseline="0">
                <a:latin typeface="Arial Black" panose="020B0A04020102020204" pitchFamily="34" charset="0"/>
              </a:rPr>
              <a:t> </a:t>
            </a:r>
            <a:endParaRPr lang="en-IN">
              <a:latin typeface="Arial Black" panose="020B0A04020102020204" pitchFamily="34" charset="0"/>
            </a:endParaRPr>
          </a:p>
        </c:rich>
      </c:tx>
      <c:layout>
        <c:manualLayout>
          <c:xMode val="edge"/>
          <c:yMode val="edge"/>
          <c:x val="3.6930023335713845E-2"/>
          <c:y val="1.10450571892331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rgbClr val="002060"/>
          </a:solidFill>
          <a:ln>
            <a:noFill/>
          </a:ln>
          <a:effectLst/>
        </c:spPr>
        <c:marker>
          <c:symbol val="none"/>
        </c:marker>
      </c:pivotFmt>
      <c:pivotFmt>
        <c:idx val="9"/>
        <c:spPr>
          <a:solidFill>
            <a:schemeClr val="accent6">
              <a:lumMod val="60000"/>
              <a:lumOff val="40000"/>
            </a:schemeClr>
          </a:solidFill>
          <a:ln>
            <a:noFill/>
          </a:ln>
          <a:effectLst/>
        </c:spPr>
        <c:marker>
          <c:symbol val="none"/>
        </c:marker>
      </c:pivotFmt>
      <c:pivotFmt>
        <c:idx val="10"/>
        <c:spPr>
          <a:solidFill>
            <a:srgbClr val="0070C0"/>
          </a:solidFill>
          <a:ln>
            <a:noFill/>
          </a:ln>
          <a:effectLst/>
        </c:spPr>
        <c:marker>
          <c:symbol val="none"/>
        </c:marker>
      </c:pivotFmt>
      <c:pivotFmt>
        <c:idx val="11"/>
        <c:spPr>
          <a:solidFill>
            <a:srgbClr val="00B0F0"/>
          </a:solidFill>
          <a:ln>
            <a:noFill/>
          </a:ln>
          <a:effectLst/>
        </c:spPr>
        <c:marker>
          <c:symbol val="none"/>
        </c:marker>
      </c:pivotFmt>
    </c:pivotFmts>
    <c:plotArea>
      <c:layout>
        <c:manualLayout>
          <c:layoutTarget val="inner"/>
          <c:xMode val="edge"/>
          <c:yMode val="edge"/>
          <c:x val="0.35795089117260198"/>
          <c:y val="0.10418284829808061"/>
          <c:w val="0.50349435161843592"/>
          <c:h val="0.86025256710365028"/>
        </c:manualLayout>
      </c:layout>
      <c:barChart>
        <c:barDir val="bar"/>
        <c:grouping val="stacked"/>
        <c:varyColors val="0"/>
        <c:ser>
          <c:idx val="0"/>
          <c:order val="0"/>
          <c:tx>
            <c:strRef>
              <c:f>Sheet4!$B$3:$B$4</c:f>
              <c:strCache>
                <c:ptCount val="1"/>
                <c:pt idx="0">
                  <c:v>Female</c:v>
                </c:pt>
              </c:strCache>
            </c:strRef>
          </c:tx>
          <c:spPr>
            <a:solidFill>
              <a:srgbClr val="002060"/>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ser>
        <c:ser>
          <c:idx val="1"/>
          <c:order val="1"/>
          <c:tx>
            <c:strRef>
              <c:f>Sheet4!$C$3:$C$4</c:f>
              <c:strCache>
                <c:ptCount val="1"/>
                <c:pt idx="0">
                  <c:v>Male</c:v>
                </c:pt>
              </c:strCache>
            </c:strRef>
          </c:tx>
          <c:spPr>
            <a:solidFill>
              <a:schemeClr val="accent6">
                <a:lumMod val="60000"/>
                <a:lumOff val="40000"/>
              </a:schemeClr>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ser>
        <c:ser>
          <c:idx val="2"/>
          <c:order val="2"/>
          <c:tx>
            <c:strRef>
              <c:f>Sheet4!$D$3:$D$4</c:f>
              <c:strCache>
                <c:ptCount val="1"/>
                <c:pt idx="0">
                  <c:v>Other</c:v>
                </c:pt>
              </c:strCache>
            </c:strRef>
          </c:tx>
          <c:spPr>
            <a:solidFill>
              <a:srgbClr val="0070C0"/>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ser>
        <c:ser>
          <c:idx val="3"/>
          <c:order val="3"/>
          <c:tx>
            <c:strRef>
              <c:f>Sheet4!$E$3:$E$4</c:f>
              <c:strCache>
                <c:ptCount val="1"/>
                <c:pt idx="0">
                  <c:v>Unknown</c:v>
                </c:pt>
              </c:strCache>
            </c:strRef>
          </c:tx>
          <c:spPr>
            <a:solidFill>
              <a:srgbClr val="00B0F0"/>
            </a:solidFill>
            <a:ln>
              <a:noFill/>
            </a:ln>
            <a:effectLst/>
          </c:spPr>
          <c:invertIfNegative val="0"/>
          <c:cat>
            <c:strRef>
              <c:f>Sheet4!$A$5:$A$25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ser>
        <c:dLbls>
          <c:showLegendKey val="0"/>
          <c:showVal val="0"/>
          <c:showCatName val="0"/>
          <c:showSerName val="0"/>
          <c:showPercent val="0"/>
          <c:showBubbleSize val="0"/>
        </c:dLbls>
        <c:gapWidth val="50"/>
        <c:overlap val="100"/>
        <c:axId val="297165760"/>
        <c:axId val="297162496"/>
      </c:barChart>
      <c:catAx>
        <c:axId val="297165760"/>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2496"/>
        <c:crosses val="autoZero"/>
        <c:auto val="1"/>
        <c:lblAlgn val="ctr"/>
        <c:lblOffset val="100"/>
        <c:noMultiLvlLbl val="0"/>
      </c:catAx>
      <c:valAx>
        <c:axId val="29716249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5760"/>
        <c:crosses val="autoZero"/>
        <c:crossBetween val="between"/>
      </c:valAx>
      <c:spPr>
        <a:noFill/>
        <a:ln>
          <a:noFill/>
        </a:ln>
        <a:effectLst/>
      </c:spPr>
    </c:plotArea>
    <c:legend>
      <c:legendPos val="r"/>
      <c:layout>
        <c:manualLayout>
          <c:xMode val="edge"/>
          <c:yMode val="edge"/>
          <c:x val="0.70169723347041779"/>
          <c:y val="0.27948907044628951"/>
          <c:w val="0.23124209488613462"/>
          <c:h val="0.2187661758855804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[ecommerce-project.xlsx]Sheet4!PivotTable2</c:name>
    <c:fmtId val="1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2060"/>
          </a:solidFill>
          <a:ln w="19050">
            <a:solidFill>
              <a:schemeClr val="lt1"/>
            </a:solidFill>
          </a:ln>
          <a:effectLst/>
        </c:spPr>
        <c:dLbl>
          <c:idx val="0"/>
          <c:layout>
            <c:manualLayout>
              <c:x val="0.10432753192940401"/>
              <c:y val="0.2573569642415670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manualLayout>
                  <c:w val="0.24995984829865758"/>
                  <c:h val="0.14599158698794346"/>
                </c:manualLayout>
              </c15:layout>
            </c:ext>
          </c:extLst>
        </c:dLbl>
      </c:pivotFmt>
      <c:pivotFmt>
        <c:idx val="8"/>
        <c:spPr>
          <a:solidFill>
            <a:schemeClr val="accent6">
              <a:lumMod val="60000"/>
              <a:lumOff val="40000"/>
            </a:schemeClr>
          </a:solidFill>
          <a:ln w="19050">
            <a:solidFill>
              <a:schemeClr val="lt1"/>
            </a:solidFill>
          </a:ln>
          <a:effectLst/>
        </c:spPr>
        <c:dLbl>
          <c:idx val="0"/>
          <c:layout>
            <c:manualLayout>
              <c:x val="-0.13568156800524672"/>
              <c:y val="0.2364298086052652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ext>
          </c:extLst>
        </c:dLbl>
      </c:pivotFmt>
      <c:pivotFmt>
        <c:idx val="9"/>
        <c:spPr>
          <a:solidFill>
            <a:schemeClr val="accent6"/>
          </a:solidFill>
          <a:ln w="19050">
            <a:solidFill>
              <a:schemeClr val="lt1"/>
            </a:solidFill>
          </a:ln>
          <a:effectLst/>
        </c:spPr>
        <c:dLbl>
          <c:idx val="0"/>
          <c:layout>
            <c:manualLayout>
              <c:x val="-0.1831051699632415"/>
              <c:y val="-4.21129577849836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ext>
          </c:extLst>
        </c:dLbl>
      </c:pivotFmt>
      <c:pivotFmt>
        <c:idx val="10"/>
        <c:spPr>
          <a:solidFill>
            <a:srgbClr val="00B0F0"/>
          </a:solidFill>
          <a:ln w="19050">
            <a:solidFill>
              <a:schemeClr val="lt1"/>
            </a:solidFill>
          </a:ln>
          <a:effectLst/>
        </c:spPr>
        <c:dLbl>
          <c:idx val="0"/>
          <c:layout>
            <c:manualLayout>
              <c:x val="0.25975401340983001"/>
              <c:y val="-0.1193202312786164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manualLayout>
                  <c:w val="0.31809200456404979"/>
                  <c:h val="0.14178029120944508"/>
                </c:manualLayout>
              </c15:layout>
            </c:ext>
          </c:extLst>
        </c:dLbl>
      </c:pivotFmt>
    </c:pivotFmts>
    <c:plotArea>
      <c:layout>
        <c:manualLayout>
          <c:layoutTarget val="inner"/>
          <c:xMode val="edge"/>
          <c:yMode val="edge"/>
          <c:x val="0.23518361495903267"/>
          <c:y val="0.1622698036470844"/>
          <c:w val="0.50196188959202992"/>
          <c:h val="0.87244286522360615"/>
        </c:manualLayout>
      </c:layout>
      <c:doughnutChart>
        <c:varyColors val="1"/>
        <c:ser>
          <c:idx val="0"/>
          <c:order val="0"/>
          <c:tx>
            <c:strRef>
              <c:f>Sheet4!$M$4</c:f>
              <c:strCache>
                <c:ptCount val="1"/>
                <c:pt idx="0">
                  <c:v>Total</c:v>
                </c:pt>
              </c:strCache>
            </c:strRef>
          </c:tx>
          <c:explosion val="5"/>
          <c:dPt>
            <c:idx val="0"/>
            <c:bubble3D val="0"/>
            <c:spPr>
              <a:solidFill>
                <a:srgbClr val="002060"/>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rgbClr val="00B0F0"/>
              </a:solidFill>
              <a:ln w="19050">
                <a:solidFill>
                  <a:schemeClr val="lt1"/>
                </a:solidFill>
              </a:ln>
              <a:effectLst/>
            </c:spPr>
          </c:dPt>
          <c:dLbls>
            <c:dLbl>
              <c:idx val="0"/>
              <c:layout>
                <c:manualLayout>
                  <c:x val="0.10432753192940401"/>
                  <c:y val="0.2573569642415670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manualLayout>
                      <c:w val="0.24995984829865758"/>
                      <c:h val="0.14599158698794346"/>
                    </c:manualLayout>
                  </c15:layout>
                </c:ext>
              </c:extLst>
            </c:dLbl>
            <c:dLbl>
              <c:idx val="1"/>
              <c:layout>
                <c:manualLayout>
                  <c:x val="-0.13568156800524672"/>
                  <c:y val="0.23642980860526527"/>
                </c:manualLayout>
              </c:layout>
              <c:showLegendKey val="1"/>
              <c:showVal val="1"/>
              <c:showCatName val="1"/>
              <c:showSerName val="0"/>
              <c:showPercent val="0"/>
              <c:showBubbleSize val="0"/>
              <c:separator>
</c:separator>
              <c:extLst>
                <c:ext xmlns:c15="http://schemas.microsoft.com/office/drawing/2012/chart" uri="{CE6537A1-D6FC-4f65-9D91-7224C49458BB}">
                  <c15:layout/>
                </c:ext>
              </c:extLst>
            </c:dLbl>
            <c:dLbl>
              <c:idx val="2"/>
              <c:layout>
                <c:manualLayout>
                  <c:x val="-0.1831051699632415"/>
                  <c:y val="-4.2112957784983689E-2"/>
                </c:manualLayout>
              </c:layout>
              <c:showLegendKey val="1"/>
              <c:showVal val="1"/>
              <c:showCatName val="1"/>
              <c:showSerName val="0"/>
              <c:showPercent val="0"/>
              <c:showBubbleSize val="0"/>
              <c:separator>
</c:separator>
              <c:extLst>
                <c:ext xmlns:c15="http://schemas.microsoft.com/office/drawing/2012/chart" uri="{CE6537A1-D6FC-4f65-9D91-7224C49458BB}">
                  <c15:layout/>
                </c:ext>
              </c:extLst>
            </c:dLbl>
            <c:dLbl>
              <c:idx val="3"/>
              <c:layout>
                <c:manualLayout>
                  <c:x val="0.25975401340983001"/>
                  <c:y val="-0.1193202312786164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manualLayout>
                      <c:w val="0.31809200456404979"/>
                      <c:h val="0.14178029120944508"/>
                    </c:manualLayout>
                  </c15:layout>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1"/>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Sheet4!$L$5:$L$9</c:f>
              <c:strCache>
                <c:ptCount val="4"/>
                <c:pt idx="0">
                  <c:v>Female</c:v>
                </c:pt>
                <c:pt idx="1">
                  <c:v>Male</c:v>
                </c:pt>
                <c:pt idx="2">
                  <c:v>Other</c:v>
                </c:pt>
                <c:pt idx="3">
                  <c:v>Unknown</c:v>
                </c:pt>
              </c:strCache>
            </c:strRef>
          </c:cat>
          <c:val>
            <c:numRef>
              <c:f>Sheet4!$M$5:$M$9</c:f>
              <c:numCache>
                <c:formatCode>General</c:formatCode>
                <c:ptCount val="4"/>
                <c:pt idx="0">
                  <c:v>6272</c:v>
                </c:pt>
                <c:pt idx="1">
                  <c:v>4672</c:v>
                </c:pt>
                <c:pt idx="2">
                  <c:v>317</c:v>
                </c:pt>
                <c:pt idx="3">
                  <c:v>736</c:v>
                </c:pt>
              </c:numCache>
            </c:numRef>
          </c:val>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[ecommerce-project.xlsx]Sheet5!PivotTable3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400" b="0" i="0" u="none" strike="noStrike" baseline="0">
                <a:effectLst/>
                <a:latin typeface="Arial Black" panose="020B0A04020102020204" pitchFamily="34" charset="0"/>
              </a:rPr>
              <a:t>Where do our customers live?</a:t>
            </a:r>
            <a:r>
              <a:rPr lang="en-IN" sz="1400" b="0" i="0" u="none" strike="noStrike" baseline="0">
                <a:latin typeface="Arial Black" panose="020B0A04020102020204" pitchFamily="34" charset="0"/>
              </a:rPr>
              <a:t> </a:t>
            </a:r>
            <a:endParaRPr lang="en-IN">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pivotFmt>
      <c:pivotFmt>
        <c:idx val="5"/>
        <c:spPr>
          <a:solidFill>
            <a:srgbClr val="002060"/>
          </a:solidFill>
          <a:ln>
            <a:solidFill>
              <a:schemeClr val="accent1"/>
            </a:solidFill>
          </a:ln>
          <a:effectLst/>
        </c:spPr>
        <c:marker>
          <c:symbol val="none"/>
        </c:marker>
      </c:pivotFmt>
      <c:pivotFmt>
        <c:idx val="6"/>
        <c:spPr>
          <a:solidFill>
            <a:schemeClr val="accent6">
              <a:lumMod val="75000"/>
            </a:schemeClr>
          </a:solidFill>
          <a:ln>
            <a:noFill/>
          </a:ln>
          <a:effectLst/>
        </c:spPr>
      </c:pivotFmt>
    </c:pivotFmts>
    <c:plotArea>
      <c:layout/>
      <c:barChart>
        <c:barDir val="bar"/>
        <c:grouping val="percentStacked"/>
        <c:varyColors val="0"/>
        <c:ser>
          <c:idx val="0"/>
          <c:order val="0"/>
          <c:tx>
            <c:strRef>
              <c:f>Sheet5!$C$3</c:f>
              <c:strCache>
                <c:ptCount val="1"/>
                <c:pt idx="0">
                  <c:v>Sum of Quantity</c:v>
                </c:pt>
              </c:strCache>
            </c:strRef>
          </c:tx>
          <c:spPr>
            <a:solidFill>
              <a:schemeClr val="accent6">
                <a:lumMod val="75000"/>
              </a:schemeClr>
            </a:solidFill>
            <a:ln>
              <a:noFill/>
            </a:ln>
            <a:effectLst/>
          </c:spPr>
          <c:invertIfNegative val="0"/>
          <c:cat>
            <c:multiLvlStrRef>
              <c:f>Sheet5!$A$4:$B$61</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Sheet5!$C$4:$C$61</c:f>
              <c:numCache>
                <c:formatCode>General</c:formatCode>
                <c:ptCount val="58"/>
                <c:pt idx="0">
                  <c:v>579</c:v>
                </c:pt>
                <c:pt idx="1">
                  <c:v>1</c:v>
                </c:pt>
                <c:pt idx="2">
                  <c:v>9</c:v>
                </c:pt>
                <c:pt idx="3">
                  <c:v>35</c:v>
                </c:pt>
                <c:pt idx="4">
                  <c:v>12</c:v>
                </c:pt>
                <c:pt idx="5">
                  <c:v>4</c:v>
                </c:pt>
                <c:pt idx="6">
                  <c:v>341</c:v>
                </c:pt>
                <c:pt idx="7">
                  <c:v>13</c:v>
                </c:pt>
                <c:pt idx="8">
                  <c:v>31</c:v>
                </c:pt>
                <c:pt idx="9">
                  <c:v>279</c:v>
                </c:pt>
                <c:pt idx="10">
                  <c:v>9</c:v>
                </c:pt>
                <c:pt idx="11">
                  <c:v>49</c:v>
                </c:pt>
                <c:pt idx="12">
                  <c:v>59</c:v>
                </c:pt>
                <c:pt idx="13">
                  <c:v>8</c:v>
                </c:pt>
                <c:pt idx="14">
                  <c:v>222</c:v>
                </c:pt>
                <c:pt idx="15">
                  <c:v>36</c:v>
                </c:pt>
                <c:pt idx="16">
                  <c:v>30</c:v>
                </c:pt>
                <c:pt idx="17">
                  <c:v>1</c:v>
                </c:pt>
                <c:pt idx="18">
                  <c:v>3991</c:v>
                </c:pt>
                <c:pt idx="19">
                  <c:v>45</c:v>
                </c:pt>
                <c:pt idx="20">
                  <c:v>39</c:v>
                </c:pt>
                <c:pt idx="21">
                  <c:v>6</c:v>
                </c:pt>
                <c:pt idx="22">
                  <c:v>9</c:v>
                </c:pt>
                <c:pt idx="23">
                  <c:v>60</c:v>
                </c:pt>
                <c:pt idx="24">
                  <c:v>2</c:v>
                </c:pt>
                <c:pt idx="25">
                  <c:v>4</c:v>
                </c:pt>
                <c:pt idx="26">
                  <c:v>31</c:v>
                </c:pt>
                <c:pt idx="27">
                  <c:v>88</c:v>
                </c:pt>
                <c:pt idx="28">
                  <c:v>25</c:v>
                </c:pt>
                <c:pt idx="29">
                  <c:v>178</c:v>
                </c:pt>
                <c:pt idx="30">
                  <c:v>141</c:v>
                </c:pt>
                <c:pt idx="31">
                  <c:v>6</c:v>
                </c:pt>
                <c:pt idx="32">
                  <c:v>178</c:v>
                </c:pt>
                <c:pt idx="33">
                  <c:v>699</c:v>
                </c:pt>
                <c:pt idx="34">
                  <c:v>23</c:v>
                </c:pt>
                <c:pt idx="35">
                  <c:v>356</c:v>
                </c:pt>
                <c:pt idx="36">
                  <c:v>1768</c:v>
                </c:pt>
                <c:pt idx="37">
                  <c:v>307</c:v>
                </c:pt>
                <c:pt idx="38">
                  <c:v>117</c:v>
                </c:pt>
                <c:pt idx="39">
                  <c:v>13</c:v>
                </c:pt>
                <c:pt idx="40">
                  <c:v>364</c:v>
                </c:pt>
                <c:pt idx="41">
                  <c:v>95</c:v>
                </c:pt>
                <c:pt idx="42">
                  <c:v>737</c:v>
                </c:pt>
                <c:pt idx="43">
                  <c:v>39</c:v>
                </c:pt>
                <c:pt idx="44">
                  <c:v>56</c:v>
                </c:pt>
                <c:pt idx="45">
                  <c:v>2</c:v>
                </c:pt>
                <c:pt idx="46">
                  <c:v>8</c:v>
                </c:pt>
                <c:pt idx="47">
                  <c:v>52</c:v>
                </c:pt>
                <c:pt idx="48">
                  <c:v>295</c:v>
                </c:pt>
                <c:pt idx="49">
                  <c:v>195</c:v>
                </c:pt>
                <c:pt idx="50">
                  <c:v>20</c:v>
                </c:pt>
                <c:pt idx="51">
                  <c:v>6</c:v>
                </c:pt>
                <c:pt idx="52">
                  <c:v>5</c:v>
                </c:pt>
                <c:pt idx="53">
                  <c:v>94</c:v>
                </c:pt>
                <c:pt idx="54">
                  <c:v>28</c:v>
                </c:pt>
                <c:pt idx="55">
                  <c:v>179</c:v>
                </c:pt>
                <c:pt idx="56">
                  <c:v>15</c:v>
                </c:pt>
                <c:pt idx="57">
                  <c:v>3</c:v>
                </c:pt>
              </c:numCache>
            </c:numRef>
          </c:val>
        </c:ser>
        <c:ser>
          <c:idx val="1"/>
          <c:order val="1"/>
          <c:tx>
            <c:strRef>
              <c:f>Sheet5!$D$3</c:f>
              <c:strCache>
                <c:ptCount val="1"/>
                <c:pt idx="0">
                  <c:v>Sum of Amount</c:v>
                </c:pt>
              </c:strCache>
            </c:strRef>
          </c:tx>
          <c:spPr>
            <a:solidFill>
              <a:srgbClr val="002060"/>
            </a:solidFill>
            <a:ln>
              <a:solidFill>
                <a:schemeClr val="accent1"/>
              </a:solidFill>
            </a:ln>
            <a:effectLst/>
          </c:spPr>
          <c:invertIfNegative val="0"/>
          <c:cat>
            <c:multiLvlStrRef>
              <c:f>Sheet5!$A$4:$B$61</c:f>
              <c:multiLvlStrCache>
                <c:ptCount val="58"/>
                <c:lvl>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lvl>
                <c:lvl>
                  <c:pt idx="0">
                    <c:v>California</c:v>
                  </c:pt>
                </c:lvl>
              </c:multiLvlStrCache>
            </c:multiLvlStrRef>
          </c:cat>
          <c:val>
            <c:numRef>
              <c:f>Sheet5!$D$4:$D$61</c:f>
              <c:numCache>
                <c:formatCode>General</c:formatCode>
                <c:ptCount val="58"/>
                <c:pt idx="0">
                  <c:v>31884.999999999996</c:v>
                </c:pt>
                <c:pt idx="1">
                  <c:v>10.9</c:v>
                </c:pt>
                <c:pt idx="2">
                  <c:v>800.3</c:v>
                </c:pt>
                <c:pt idx="3">
                  <c:v>1062.5999999999999</c:v>
                </c:pt>
                <c:pt idx="4">
                  <c:v>326.20000000000005</c:v>
                </c:pt>
                <c:pt idx="5">
                  <c:v>167.5</c:v>
                </c:pt>
                <c:pt idx="6">
                  <c:v>16168.7</c:v>
                </c:pt>
                <c:pt idx="7">
                  <c:v>322.40000000000003</c:v>
                </c:pt>
                <c:pt idx="8">
                  <c:v>2092.8000000000002</c:v>
                </c:pt>
                <c:pt idx="9">
                  <c:v>12662.500000000002</c:v>
                </c:pt>
                <c:pt idx="10">
                  <c:v>343.2</c:v>
                </c:pt>
                <c:pt idx="11">
                  <c:v>2188.2999999999997</c:v>
                </c:pt>
                <c:pt idx="12">
                  <c:v>2661.5999999999995</c:v>
                </c:pt>
                <c:pt idx="13">
                  <c:v>887.5</c:v>
                </c:pt>
                <c:pt idx="14">
                  <c:v>11354.199999999993</c:v>
                </c:pt>
                <c:pt idx="15">
                  <c:v>1558.4</c:v>
                </c:pt>
                <c:pt idx="16">
                  <c:v>2223.9</c:v>
                </c:pt>
                <c:pt idx="17">
                  <c:v>26.2</c:v>
                </c:pt>
                <c:pt idx="18">
                  <c:v>215551.19999999981</c:v>
                </c:pt>
                <c:pt idx="19">
                  <c:v>2687.3999999999996</c:v>
                </c:pt>
                <c:pt idx="20">
                  <c:v>1463.3000000000002</c:v>
                </c:pt>
                <c:pt idx="21">
                  <c:v>445.79999999999995</c:v>
                </c:pt>
                <c:pt idx="22">
                  <c:v>273.59999999999997</c:v>
                </c:pt>
                <c:pt idx="23">
                  <c:v>2690.4</c:v>
                </c:pt>
                <c:pt idx="24">
                  <c:v>28.4</c:v>
                </c:pt>
                <c:pt idx="25">
                  <c:v>204.8</c:v>
                </c:pt>
                <c:pt idx="26">
                  <c:v>1607.8999999999999</c:v>
                </c:pt>
                <c:pt idx="27">
                  <c:v>6444.9</c:v>
                </c:pt>
                <c:pt idx="28">
                  <c:v>1809.3</c:v>
                </c:pt>
                <c:pt idx="29">
                  <c:v>9680.399999999996</c:v>
                </c:pt>
                <c:pt idx="30">
                  <c:v>9414.7999999999993</c:v>
                </c:pt>
                <c:pt idx="31">
                  <c:v>206.1</c:v>
                </c:pt>
                <c:pt idx="32">
                  <c:v>7691.3</c:v>
                </c:pt>
                <c:pt idx="33">
                  <c:v>37784.900000000016</c:v>
                </c:pt>
                <c:pt idx="34">
                  <c:v>1129.7</c:v>
                </c:pt>
                <c:pt idx="35">
                  <c:v>20988.9</c:v>
                </c:pt>
                <c:pt idx="36">
                  <c:v>98367.099999999977</c:v>
                </c:pt>
                <c:pt idx="37">
                  <c:v>21911.9</c:v>
                </c:pt>
                <c:pt idx="38">
                  <c:v>5441.2</c:v>
                </c:pt>
                <c:pt idx="39">
                  <c:v>392.8</c:v>
                </c:pt>
                <c:pt idx="40">
                  <c:v>16172.000000000005</c:v>
                </c:pt>
                <c:pt idx="41">
                  <c:v>4334.9999999999991</c:v>
                </c:pt>
                <c:pt idx="42">
                  <c:v>37449.000000000007</c:v>
                </c:pt>
                <c:pt idx="43">
                  <c:v>2447.5</c:v>
                </c:pt>
                <c:pt idx="44">
                  <c:v>3391.1</c:v>
                </c:pt>
                <c:pt idx="45">
                  <c:v>30.8</c:v>
                </c:pt>
                <c:pt idx="46">
                  <c:v>332.3</c:v>
                </c:pt>
                <c:pt idx="47">
                  <c:v>3175.9999999999995</c:v>
                </c:pt>
                <c:pt idx="48">
                  <c:v>20939.600000000002</c:v>
                </c:pt>
                <c:pt idx="49">
                  <c:v>10185.899999999996</c:v>
                </c:pt>
                <c:pt idx="50">
                  <c:v>958.7</c:v>
                </c:pt>
                <c:pt idx="51">
                  <c:v>323</c:v>
                </c:pt>
                <c:pt idx="52">
                  <c:v>167.70000000000002</c:v>
                </c:pt>
                <c:pt idx="53">
                  <c:v>3978.5</c:v>
                </c:pt>
                <c:pt idx="54">
                  <c:v>1405</c:v>
                </c:pt>
                <c:pt idx="55">
                  <c:v>9869.0999999999985</c:v>
                </c:pt>
                <c:pt idx="56">
                  <c:v>615.29999999999995</c:v>
                </c:pt>
                <c:pt idx="57">
                  <c:v>285</c:v>
                </c:pt>
              </c:numCache>
            </c:numRef>
          </c:val>
        </c:ser>
        <c:dLbls>
          <c:showLegendKey val="0"/>
          <c:showVal val="0"/>
          <c:showCatName val="0"/>
          <c:showSerName val="0"/>
          <c:showPercent val="0"/>
          <c:showBubbleSize val="0"/>
        </c:dLbls>
        <c:gapWidth val="74"/>
        <c:overlap val="100"/>
        <c:axId val="297161408"/>
        <c:axId val="297163040"/>
      </c:barChart>
      <c:catAx>
        <c:axId val="2971614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3040"/>
        <c:crosses val="autoZero"/>
        <c:auto val="1"/>
        <c:lblAlgn val="ctr"/>
        <c:lblOffset val="100"/>
        <c:noMultiLvlLbl val="0"/>
      </c:catAx>
      <c:valAx>
        <c:axId val="2971630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1408"/>
        <c:crosses val="autoZero"/>
        <c:crossBetween val="between"/>
      </c:valAx>
      <c:spPr>
        <a:noFill/>
        <a:ln>
          <a:noFill/>
        </a:ln>
        <a:effectLst/>
      </c:spPr>
    </c:plotArea>
    <c:legend>
      <c:legendPos val="t"/>
      <c:layout>
        <c:manualLayout>
          <c:xMode val="edge"/>
          <c:yMode val="edge"/>
          <c:x val="0.34480363040658779"/>
          <c:y val="7.7828887456627249E-2"/>
          <c:w val="0.64697190461749521"/>
          <c:h val="4.7154605987455661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[ecommerce-project.xlsx]Sheet6!PivotTable7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400" b="0" i="0" u="none" strike="noStrike" baseline="0">
                <a:effectLst/>
                <a:latin typeface="Arial Black" panose="020B0A04020102020204" pitchFamily="34" charset="0"/>
              </a:rPr>
              <a:t>How Satisfied are our customers?</a:t>
            </a:r>
            <a:r>
              <a:rPr lang="en-IN" sz="1400" b="0" i="0" u="none" strike="noStrike" baseline="0">
                <a:latin typeface="Arial Black" panose="020B0A04020102020204" pitchFamily="34" charset="0"/>
              </a:rPr>
              <a:t> </a:t>
            </a:r>
            <a:endParaRPr lang="en-IN">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rgbClr val="002060"/>
          </a:solidFill>
          <a:ln>
            <a:noFill/>
          </a:ln>
          <a:effectLst/>
        </c:spPr>
        <c:marker>
          <c:symbol val="none"/>
        </c:marker>
      </c:pivotFmt>
      <c:pivotFmt>
        <c:idx val="11"/>
        <c:spPr>
          <a:solidFill>
            <a:schemeClr val="accent6">
              <a:lumMod val="50000"/>
            </a:schemeClr>
          </a:solidFill>
          <a:ln>
            <a:noFill/>
          </a:ln>
          <a:effectLst/>
        </c:spPr>
        <c:marker>
          <c:symbol val="none"/>
        </c:marker>
      </c:pivotFmt>
      <c:pivotFmt>
        <c:idx val="12"/>
        <c:spPr>
          <a:solidFill>
            <a:schemeClr val="accent6">
              <a:lumMod val="75000"/>
            </a:schemeClr>
          </a:solidFill>
          <a:ln>
            <a:noFill/>
          </a:ln>
          <a:effectLst/>
        </c:spPr>
        <c:marker>
          <c:symbol val="none"/>
        </c:marker>
      </c:pivotFmt>
      <c:pivotFmt>
        <c:idx val="13"/>
        <c:spPr>
          <a:solidFill>
            <a:srgbClr val="00B0F0"/>
          </a:solidFill>
          <a:ln>
            <a:noFill/>
          </a:ln>
          <a:effectLst/>
        </c:spPr>
        <c:marker>
          <c:symbol val="none"/>
        </c:marker>
      </c:pivotFmt>
      <c:pivotFmt>
        <c:idx val="14"/>
        <c:spPr>
          <a:solidFill>
            <a:schemeClr val="accent6">
              <a:lumMod val="60000"/>
              <a:lumOff val="40000"/>
            </a:schemeClr>
          </a:solidFill>
          <a:ln>
            <a:noFill/>
          </a:ln>
          <a:effectLst/>
        </c:spPr>
        <c:marker>
          <c:symbol val="none"/>
        </c:marker>
      </c:pivotFmt>
    </c:pivotFmts>
    <c:plotArea>
      <c:layout/>
      <c:barChart>
        <c:barDir val="col"/>
        <c:grouping val="clustered"/>
        <c:varyColors val="0"/>
        <c:ser>
          <c:idx val="0"/>
          <c:order val="0"/>
          <c:tx>
            <c:strRef>
              <c:f>Sheet6!$B$21:$B$22</c:f>
              <c:strCache>
                <c:ptCount val="1"/>
                <c:pt idx="0">
                  <c:v>1</c:v>
                </c:pt>
              </c:strCache>
            </c:strRef>
          </c:tx>
          <c:spPr>
            <a:solidFill>
              <a:srgbClr val="002060"/>
            </a:solidFill>
            <a:ln>
              <a:noFill/>
            </a:ln>
            <a:effectLst/>
          </c:spPr>
          <c:invertIfNegative val="0"/>
          <c:cat>
            <c:strRef>
              <c:f>Sheet6!$A$23:$A$26</c:f>
              <c:strCache>
                <c:ptCount val="3"/>
                <c:pt idx="0">
                  <c:v>Jan</c:v>
                </c:pt>
                <c:pt idx="1">
                  <c:v>Feb</c:v>
                </c:pt>
                <c:pt idx="2">
                  <c:v>Mar</c:v>
                </c:pt>
              </c:strCache>
            </c:strRef>
          </c:cat>
          <c:val>
            <c:numRef>
              <c:f>Sheet6!$B$23:$B$26</c:f>
              <c:numCache>
                <c:formatCode>General</c:formatCode>
                <c:ptCount val="3"/>
                <c:pt idx="0">
                  <c:v>7</c:v>
                </c:pt>
                <c:pt idx="1">
                  <c:v>8</c:v>
                </c:pt>
                <c:pt idx="2">
                  <c:v>6</c:v>
                </c:pt>
              </c:numCache>
            </c:numRef>
          </c:val>
        </c:ser>
        <c:ser>
          <c:idx val="1"/>
          <c:order val="1"/>
          <c:tx>
            <c:strRef>
              <c:f>Sheet6!$C$21:$C$22</c:f>
              <c:strCache>
                <c:ptCount val="1"/>
                <c:pt idx="0">
                  <c:v>2</c:v>
                </c:pt>
              </c:strCache>
            </c:strRef>
          </c:tx>
          <c:spPr>
            <a:solidFill>
              <a:schemeClr val="accent6">
                <a:lumMod val="50000"/>
              </a:schemeClr>
            </a:solidFill>
            <a:ln>
              <a:noFill/>
            </a:ln>
            <a:effectLst/>
          </c:spPr>
          <c:invertIfNegative val="0"/>
          <c:cat>
            <c:strRef>
              <c:f>Sheet6!$A$23:$A$26</c:f>
              <c:strCache>
                <c:ptCount val="3"/>
                <c:pt idx="0">
                  <c:v>Jan</c:v>
                </c:pt>
                <c:pt idx="1">
                  <c:v>Feb</c:v>
                </c:pt>
                <c:pt idx="2">
                  <c:v>Mar</c:v>
                </c:pt>
              </c:strCache>
            </c:strRef>
          </c:cat>
          <c:val>
            <c:numRef>
              <c:f>Sheet6!$C$23:$C$26</c:f>
              <c:numCache>
                <c:formatCode>General</c:formatCode>
                <c:ptCount val="3"/>
                <c:pt idx="0">
                  <c:v>37</c:v>
                </c:pt>
                <c:pt idx="1">
                  <c:v>51</c:v>
                </c:pt>
                <c:pt idx="2">
                  <c:v>39</c:v>
                </c:pt>
              </c:numCache>
            </c:numRef>
          </c:val>
        </c:ser>
        <c:ser>
          <c:idx val="2"/>
          <c:order val="2"/>
          <c:tx>
            <c:strRef>
              <c:f>Sheet6!$D$21:$D$22</c:f>
              <c:strCache>
                <c:ptCount val="1"/>
                <c:pt idx="0">
                  <c:v>3</c:v>
                </c:pt>
              </c:strCache>
            </c:strRef>
          </c:tx>
          <c:spPr>
            <a:solidFill>
              <a:schemeClr val="accent6">
                <a:lumMod val="75000"/>
              </a:schemeClr>
            </a:solidFill>
            <a:ln>
              <a:noFill/>
            </a:ln>
            <a:effectLst/>
          </c:spPr>
          <c:invertIfNegative val="0"/>
          <c:cat>
            <c:strRef>
              <c:f>Sheet6!$A$23:$A$26</c:f>
              <c:strCache>
                <c:ptCount val="3"/>
                <c:pt idx="0">
                  <c:v>Jan</c:v>
                </c:pt>
                <c:pt idx="1">
                  <c:v>Feb</c:v>
                </c:pt>
                <c:pt idx="2">
                  <c:v>Mar</c:v>
                </c:pt>
              </c:strCache>
            </c:strRef>
          </c:cat>
          <c:val>
            <c:numRef>
              <c:f>Sheet6!$D$23:$D$26</c:f>
              <c:numCache>
                <c:formatCode>General</c:formatCode>
                <c:ptCount val="3"/>
                <c:pt idx="0">
                  <c:v>150</c:v>
                </c:pt>
                <c:pt idx="1">
                  <c:v>182</c:v>
                </c:pt>
                <c:pt idx="2">
                  <c:v>163</c:v>
                </c:pt>
              </c:numCache>
            </c:numRef>
          </c:val>
        </c:ser>
        <c:ser>
          <c:idx val="3"/>
          <c:order val="3"/>
          <c:tx>
            <c:strRef>
              <c:f>Sheet6!$E$21:$E$22</c:f>
              <c:strCache>
                <c:ptCount val="1"/>
                <c:pt idx="0">
                  <c:v>4</c:v>
                </c:pt>
              </c:strCache>
            </c:strRef>
          </c:tx>
          <c:spPr>
            <a:solidFill>
              <a:srgbClr val="00B0F0"/>
            </a:solidFill>
            <a:ln>
              <a:noFill/>
            </a:ln>
            <a:effectLst/>
          </c:spPr>
          <c:invertIfNegative val="0"/>
          <c:cat>
            <c:strRef>
              <c:f>Sheet6!$A$23:$A$26</c:f>
              <c:strCache>
                <c:ptCount val="3"/>
                <c:pt idx="0">
                  <c:v>Jan</c:v>
                </c:pt>
                <c:pt idx="1">
                  <c:v>Feb</c:v>
                </c:pt>
                <c:pt idx="2">
                  <c:v>Mar</c:v>
                </c:pt>
              </c:strCache>
            </c:strRef>
          </c:cat>
          <c:val>
            <c:numRef>
              <c:f>Sheet6!$E$23:$E$26</c:f>
              <c:numCache>
                <c:formatCode>General</c:formatCode>
                <c:ptCount val="3"/>
                <c:pt idx="0">
                  <c:v>312</c:v>
                </c:pt>
                <c:pt idx="1">
                  <c:v>373</c:v>
                </c:pt>
                <c:pt idx="2">
                  <c:v>351</c:v>
                </c:pt>
              </c:numCache>
            </c:numRef>
          </c:val>
        </c:ser>
        <c:ser>
          <c:idx val="4"/>
          <c:order val="4"/>
          <c:tx>
            <c:strRef>
              <c:f>Sheet6!$F$21:$F$22</c:f>
              <c:strCache>
                <c:ptCount val="1"/>
                <c:pt idx="0">
                  <c:v>5</c:v>
                </c:pt>
              </c:strCache>
            </c:strRef>
          </c:tx>
          <c:spPr>
            <a:solidFill>
              <a:schemeClr val="accent6">
                <a:lumMod val="60000"/>
                <a:lumOff val="40000"/>
              </a:schemeClr>
            </a:solidFill>
            <a:ln>
              <a:noFill/>
            </a:ln>
            <a:effectLst/>
          </c:spPr>
          <c:invertIfNegative val="0"/>
          <c:cat>
            <c:strRef>
              <c:f>Sheet6!$A$23:$A$26</c:f>
              <c:strCache>
                <c:ptCount val="3"/>
                <c:pt idx="0">
                  <c:v>Jan</c:v>
                </c:pt>
                <c:pt idx="1">
                  <c:v>Feb</c:v>
                </c:pt>
                <c:pt idx="2">
                  <c:v>Mar</c:v>
                </c:pt>
              </c:strCache>
            </c:strRef>
          </c:cat>
          <c:val>
            <c:numRef>
              <c:f>Sheet6!$F$23:$F$26</c:f>
              <c:numCache>
                <c:formatCode>General</c:formatCode>
                <c:ptCount val="3"/>
                <c:pt idx="0">
                  <c:v>224</c:v>
                </c:pt>
                <c:pt idx="1">
                  <c:v>247</c:v>
                </c:pt>
                <c:pt idx="2">
                  <c:v>250</c:v>
                </c:pt>
              </c:numCache>
            </c:numRef>
          </c:val>
        </c:ser>
        <c:dLbls>
          <c:showLegendKey val="0"/>
          <c:showVal val="0"/>
          <c:showCatName val="0"/>
          <c:showSerName val="0"/>
          <c:showPercent val="0"/>
          <c:showBubbleSize val="0"/>
        </c:dLbls>
        <c:gapWidth val="219"/>
        <c:overlap val="-27"/>
        <c:axId val="297157056"/>
        <c:axId val="297166304"/>
      </c:barChart>
      <c:catAx>
        <c:axId val="29715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6304"/>
        <c:crosses val="autoZero"/>
        <c:auto val="1"/>
        <c:lblAlgn val="ctr"/>
        <c:lblOffset val="100"/>
        <c:noMultiLvlLbl val="0"/>
      </c:catAx>
      <c:valAx>
        <c:axId val="29716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57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400" b="0" i="0" u="none" strike="noStrike" baseline="0">
                <a:effectLst/>
                <a:latin typeface="Arial Black" panose="020B0A04020102020204" pitchFamily="34" charset="0"/>
              </a:rPr>
              <a:t>How long we take to ship the orders</a:t>
            </a:r>
            <a:r>
              <a:rPr lang="en-IN" sz="1400" b="0" i="0" u="none" strike="noStrike" baseline="0">
                <a:latin typeface="Arial Black" panose="020B0A04020102020204" pitchFamily="34" charset="0"/>
              </a:rPr>
              <a:t> </a:t>
            </a:r>
            <a:endParaRPr lang="en-IN">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2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188528438496455"/>
          <c:y val="0.11946178225281255"/>
          <c:w val="0.83988024704856834"/>
          <c:h val="0.69750792507391968"/>
        </c:manualLayout>
      </c:layout>
      <c:barChart>
        <c:barDir val="col"/>
        <c:grouping val="clustered"/>
        <c:varyColors val="0"/>
        <c:ser>
          <c:idx val="0"/>
          <c:order val="0"/>
          <c:tx>
            <c:strRef>
              <c:f>Sheet6!$B$3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Sheet6!$B$4:$B$19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ser>
        <c:dLbls>
          <c:dLblPos val="outEnd"/>
          <c:showLegendKey val="0"/>
          <c:showVal val="1"/>
          <c:showCatName val="0"/>
          <c:showSerName val="0"/>
          <c:showPercent val="0"/>
          <c:showBubbleSize val="0"/>
        </c:dLbls>
        <c:gapWidth val="20"/>
        <c:overlap val="-27"/>
        <c:axId val="297166848"/>
        <c:axId val="297157600"/>
      </c:barChart>
      <c:catAx>
        <c:axId val="29716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57600"/>
        <c:crosses val="autoZero"/>
        <c:auto val="1"/>
        <c:lblAlgn val="ctr"/>
        <c:lblOffset val="100"/>
        <c:noMultiLvlLbl val="0"/>
      </c:catAx>
      <c:valAx>
        <c:axId val="297157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66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[ecommerce-project.xlsx]Sheet7!PivotTable14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a:latin typeface="Arial Black" panose="020B0A04020102020204" pitchFamily="34" charset="0"/>
              </a:rPr>
              <a:t>Trend in the last 13 weeks</a:t>
            </a:r>
          </a:p>
        </c:rich>
      </c:tx>
      <c:layout>
        <c:manualLayout>
          <c:xMode val="edge"/>
          <c:yMode val="edge"/>
          <c:x val="0.21178353835027777"/>
          <c:y val="3.758390532880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pivotFmt>
      <c:pivotFmt>
        <c:idx val="1"/>
        <c:spPr>
          <a:solidFill>
            <a:schemeClr val="accent1"/>
          </a:solidFill>
          <a:ln w="28575" cap="rnd">
            <a:solidFill>
              <a:srgbClr val="002060"/>
            </a:solidFill>
            <a:round/>
          </a:ln>
          <a:effectLst/>
        </c:spPr>
        <c:marker>
          <c:symbol val="none"/>
        </c:marker>
      </c:pivotFmt>
      <c:pivotFmt>
        <c:idx val="2"/>
        <c:spPr>
          <a:solidFill>
            <a:schemeClr val="accent6">
              <a:lumMod val="75000"/>
            </a:schemeClr>
          </a:solidFill>
          <a:ln>
            <a:noFill/>
          </a:ln>
          <a:effectLst/>
        </c:spPr>
        <c:marker>
          <c:symbol val="none"/>
        </c:marker>
      </c:pivotFmt>
      <c:pivotFmt>
        <c:idx val="3"/>
        <c:spPr>
          <a:solidFill>
            <a:schemeClr val="accent1"/>
          </a:solidFill>
          <a:ln w="28575" cap="rnd">
            <a:solidFill>
              <a:srgbClr val="002060"/>
            </a:solidFill>
            <a:round/>
          </a:ln>
          <a:effectLst/>
        </c:spPr>
        <c:marker>
          <c:symbol val="none"/>
        </c:marker>
      </c:pivotFmt>
      <c:pivotFmt>
        <c:idx val="4"/>
        <c:spPr>
          <a:solidFill>
            <a:schemeClr val="accent6">
              <a:lumMod val="75000"/>
            </a:schemeClr>
          </a:solidFill>
          <a:ln>
            <a:noFill/>
          </a:ln>
          <a:effectLst/>
        </c:spPr>
        <c:marker>
          <c:symbol val="none"/>
        </c:marker>
      </c:pivotFmt>
      <c:pivotFmt>
        <c:idx val="5"/>
        <c:spPr>
          <a:ln w="28575" cap="rnd">
            <a:solidFill>
              <a:srgbClr val="002060"/>
            </a:solidFill>
            <a:round/>
          </a:ln>
          <a:effectLst/>
        </c:spPr>
        <c:marker>
          <c:symbol val="none"/>
        </c:marker>
      </c:pivotFmt>
    </c:pivotFmts>
    <c:plotArea>
      <c:layout/>
      <c:barChart>
        <c:barDir val="col"/>
        <c:grouping val="clustered"/>
        <c:varyColors val="0"/>
        <c:ser>
          <c:idx val="0"/>
          <c:order val="0"/>
          <c:tx>
            <c:strRef>
              <c:f>Sheet7!$B$3</c:f>
              <c:strCache>
                <c:ptCount val="1"/>
                <c:pt idx="0">
                  <c:v>Sum of Days to Deliver</c:v>
                </c:pt>
              </c:strCache>
            </c:strRef>
          </c:tx>
          <c:spPr>
            <a:solidFill>
              <a:schemeClr val="accent6">
                <a:lumMod val="75000"/>
              </a:schemeClr>
            </a:solidFill>
            <a:ln>
              <a:no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0</c:v>
                </c:pt>
                <c:pt idx="1">
                  <c:v>888</c:v>
                </c:pt>
                <c:pt idx="2">
                  <c:v>1076</c:v>
                </c:pt>
                <c:pt idx="3">
                  <c:v>1032</c:v>
                </c:pt>
                <c:pt idx="4">
                  <c:v>800</c:v>
                </c:pt>
                <c:pt idx="5">
                  <c:v>470</c:v>
                </c:pt>
                <c:pt idx="6">
                  <c:v>306</c:v>
                </c:pt>
                <c:pt idx="7">
                  <c:v>224</c:v>
                </c:pt>
                <c:pt idx="8">
                  <c:v>184</c:v>
                </c:pt>
                <c:pt idx="9">
                  <c:v>81</c:v>
                </c:pt>
                <c:pt idx="10">
                  <c:v>80</c:v>
                </c:pt>
                <c:pt idx="11">
                  <c:v>121</c:v>
                </c:pt>
                <c:pt idx="12">
                  <c:v>48</c:v>
                </c:pt>
                <c:pt idx="13">
                  <c:v>130</c:v>
                </c:pt>
                <c:pt idx="14">
                  <c:v>182</c:v>
                </c:pt>
              </c:numCache>
            </c:numRef>
          </c:val>
        </c:ser>
        <c:dLbls>
          <c:showLegendKey val="0"/>
          <c:showVal val="0"/>
          <c:showCatName val="0"/>
          <c:showSerName val="0"/>
          <c:showPercent val="0"/>
          <c:showBubbleSize val="0"/>
        </c:dLbls>
        <c:gapWidth val="219"/>
        <c:overlap val="-27"/>
        <c:axId val="297152704"/>
        <c:axId val="297158144"/>
      </c:barChart>
      <c:lineChart>
        <c:grouping val="standard"/>
        <c:varyColors val="0"/>
        <c:ser>
          <c:idx val="1"/>
          <c:order val="1"/>
          <c:tx>
            <c:strRef>
              <c:f>Sheet7!$C$3</c:f>
              <c:strCache>
                <c:ptCount val="1"/>
                <c:pt idx="0">
                  <c:v>Sum of Amount</c:v>
                </c:pt>
              </c:strCache>
            </c:strRef>
          </c:tx>
          <c:spPr>
            <a:ln w="28575" cap="rnd">
              <a:solidFill>
                <a:srgbClr val="002060"/>
              </a:solidFill>
              <a:round/>
            </a:ln>
            <a:effectLst/>
          </c:spPr>
          <c:marker>
            <c:symbol val="none"/>
          </c:marker>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Sheet7!$C$4:$C$19</c:f>
              <c:numCache>
                <c:formatCode>General</c:formatCode>
                <c:ptCount val="15"/>
                <c:pt idx="0">
                  <c:v>52535.200000000012</c:v>
                </c:pt>
                <c:pt idx="1">
                  <c:v>240164.2999999999</c:v>
                </c:pt>
                <c:pt idx="2">
                  <c:v>152571.70000000001</c:v>
                </c:pt>
                <c:pt idx="3">
                  <c:v>86317.199999999983</c:v>
                </c:pt>
                <c:pt idx="4">
                  <c:v>47295.600000000006</c:v>
                </c:pt>
                <c:pt idx="5">
                  <c:v>28644.7</c:v>
                </c:pt>
                <c:pt idx="6">
                  <c:v>14032.499999999998</c:v>
                </c:pt>
                <c:pt idx="7">
                  <c:v>8816.6000000000022</c:v>
                </c:pt>
                <c:pt idx="8">
                  <c:v>3931.2</c:v>
                </c:pt>
                <c:pt idx="9">
                  <c:v>1462.6999999999998</c:v>
                </c:pt>
                <c:pt idx="10">
                  <c:v>2279.7000000000003</c:v>
                </c:pt>
                <c:pt idx="11">
                  <c:v>2907.1</c:v>
                </c:pt>
                <c:pt idx="12">
                  <c:v>537.79999999999995</c:v>
                </c:pt>
                <c:pt idx="13">
                  <c:v>3084.3999999999996</c:v>
                </c:pt>
                <c:pt idx="14">
                  <c:v>4439.1000000000004</c:v>
                </c:pt>
              </c:numCache>
            </c:numRef>
          </c:val>
          <c:smooth val="0"/>
        </c:ser>
        <c:dLbls>
          <c:showLegendKey val="0"/>
          <c:showVal val="0"/>
          <c:showCatName val="0"/>
          <c:showSerName val="0"/>
          <c:showPercent val="0"/>
          <c:showBubbleSize val="0"/>
        </c:dLbls>
        <c:marker val="1"/>
        <c:smooth val="0"/>
        <c:axId val="297153792"/>
        <c:axId val="297158688"/>
      </c:lineChart>
      <c:catAx>
        <c:axId val="2971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58144"/>
        <c:crosses val="autoZero"/>
        <c:auto val="1"/>
        <c:lblAlgn val="ctr"/>
        <c:lblOffset val="100"/>
        <c:noMultiLvlLbl val="0"/>
      </c:catAx>
      <c:valAx>
        <c:axId val="29715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52704"/>
        <c:crosses val="autoZero"/>
        <c:crossBetween val="between"/>
      </c:valAx>
      <c:valAx>
        <c:axId val="297158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297153792"/>
        <c:crosses val="max"/>
        <c:crossBetween val="between"/>
      </c:valAx>
      <c:catAx>
        <c:axId val="297153792"/>
        <c:scaling>
          <c:orientation val="minMax"/>
        </c:scaling>
        <c:delete val="1"/>
        <c:axPos val="b"/>
        <c:numFmt formatCode="General" sourceLinked="1"/>
        <c:majorTickMark val="out"/>
        <c:minorTickMark val="none"/>
        <c:tickLblPos val="nextTo"/>
        <c:crossAx val="29715868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emf"/><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447675</xdr:colOff>
      <xdr:row>9</xdr:row>
      <xdr:rowOff>80962</xdr:rowOff>
    </xdr:from>
    <xdr:to>
      <xdr:col>7</xdr:col>
      <xdr:colOff>314325</xdr:colOff>
      <xdr:row>24</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112750</xdr:colOff>
      <xdr:row>1</xdr:row>
      <xdr:rowOff>102892</xdr:rowOff>
    </xdr:from>
    <xdr:to>
      <xdr:col>9</xdr:col>
      <xdr:colOff>569950</xdr:colOff>
      <xdr:row>16</xdr:row>
      <xdr:rowOff>131466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95249</xdr:colOff>
      <xdr:row>2</xdr:row>
      <xdr:rowOff>38100</xdr:rowOff>
    </xdr:from>
    <xdr:to>
      <xdr:col>10</xdr:col>
      <xdr:colOff>238124</xdr:colOff>
      <xdr:row>13</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257176</xdr:colOff>
      <xdr:row>13</xdr:row>
      <xdr:rowOff>171451</xdr:rowOff>
    </xdr:from>
    <xdr:to>
      <xdr:col>11</xdr:col>
      <xdr:colOff>647700</xdr:colOff>
      <xdr:row>26</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541734</xdr:colOff>
      <xdr:row>0</xdr:row>
      <xdr:rowOff>79474</xdr:rowOff>
    </xdr:from>
    <xdr:to>
      <xdr:col>10</xdr:col>
      <xdr:colOff>98226</xdr:colOff>
      <xdr:row>27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152400</xdr:colOff>
      <xdr:row>19</xdr:row>
      <xdr:rowOff>109537</xdr:rowOff>
    </xdr:from>
    <xdr:to>
      <xdr:col>13</xdr:col>
      <xdr:colOff>495300</xdr:colOff>
      <xdr:row>34</xdr:row>
      <xdr:rowOff>138112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285750</xdr:colOff>
      <xdr:row>5</xdr:row>
      <xdr:rowOff>14287</xdr:rowOff>
    </xdr:from>
    <xdr:to>
      <xdr:col>11</xdr:col>
      <xdr:colOff>209550</xdr:colOff>
      <xdr:row>20</xdr:row>
      <xdr:rowOff>42862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336964</xdr:colOff>
      <xdr:row>20</xdr:row>
      <xdr:rowOff>165653</xdr:rowOff>
    </xdr:from>
    <xdr:to>
      <xdr:col>18</xdr:col>
      <xdr:colOff>53698</xdr:colOff>
      <xdr:row>34</xdr:row>
      <xdr:rowOff>177386</xdr:rowOff>
    </xdr:to>
    <mc:AlternateContent xmlns:mc="http://schemas.openxmlformats.org/markup-compatibility/2006" xmlns:a14="http://schemas.microsoft.com/office/drawing/2010/main">
      <mc:Choice Requires="a14">
        <xdr:graphicFrame macro="">
          <xdr:nvGraphicFramePr>
            <xdr:cNvPr id="5" name="Order Mode"/>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1187181" y="375478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171311</xdr:colOff>
      <xdr:row>21</xdr:row>
      <xdr:rowOff>27609</xdr:rowOff>
    </xdr:from>
    <xdr:to>
      <xdr:col>14</xdr:col>
      <xdr:colOff>592067</xdr:colOff>
      <xdr:row>35</xdr:row>
      <xdr:rowOff>39343</xdr:rowOff>
    </xdr:to>
    <mc:AlternateContent xmlns:mc="http://schemas.openxmlformats.org/markup-compatibility/2006" xmlns:a14="http://schemas.microsoft.com/office/drawing/2010/main">
      <mc:Choice Requires="a14">
        <xdr:graphicFrame macro="">
          <xdr:nvGraphicFramePr>
            <xdr:cNvPr id="6" name="Gender Value"/>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909463" y="379619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438150</xdr:colOff>
      <xdr:row>3</xdr:row>
      <xdr:rowOff>90487</xdr:rowOff>
    </xdr:from>
    <xdr:to>
      <xdr:col>9</xdr:col>
      <xdr:colOff>438150</xdr:colOff>
      <xdr:row>18</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2675</xdr:colOff>
      <xdr:row>0</xdr:row>
      <xdr:rowOff>0</xdr:rowOff>
    </xdr:from>
    <xdr:to>
      <xdr:col>27</xdr:col>
      <xdr:colOff>332268</xdr:colOff>
      <xdr:row>54</xdr:row>
      <xdr:rowOff>88604</xdr:rowOff>
    </xdr:to>
    <xdr:sp macro="" textlink="">
      <xdr:nvSpPr>
        <xdr:cNvPr id="3" name="Rectangle 2">
          <a:extLst>
            <a:ext uri="{FF2B5EF4-FFF2-40B4-BE49-F238E27FC236}">
              <a16:creationId xmlns:a16="http://schemas.microsoft.com/office/drawing/2014/main" xmlns="" id="{512E711C-2A24-4D4D-87BA-83E9FC8B40D0}"/>
            </a:ext>
          </a:extLst>
        </xdr:cNvPr>
        <xdr:cNvSpPr/>
      </xdr:nvSpPr>
      <xdr:spPr>
        <a:xfrm>
          <a:off x="2239942" y="0"/>
          <a:ext cx="15968314" cy="9657906"/>
        </a:xfrm>
        <a:prstGeom prst="rect">
          <a:avLst/>
        </a:prstGeom>
        <a:solidFill>
          <a:schemeClr val="accent6">
            <a:lumMod val="40000"/>
            <a:lumOff val="6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54</xdr:row>
      <xdr:rowOff>88604</xdr:rowOff>
    </xdr:to>
    <xdr:sp macro="" textlink="">
      <xdr:nvSpPr>
        <xdr:cNvPr id="2" name="Rectangle 1">
          <a:extLst>
            <a:ext uri="{FF2B5EF4-FFF2-40B4-BE49-F238E27FC236}">
              <a16:creationId xmlns:a16="http://schemas.microsoft.com/office/drawing/2014/main" xmlns="" id="{C0CF5D1E-2563-41D5-BA29-5EAAC61A9C34}"/>
            </a:ext>
          </a:extLst>
        </xdr:cNvPr>
        <xdr:cNvSpPr/>
      </xdr:nvSpPr>
      <xdr:spPr>
        <a:xfrm>
          <a:off x="0" y="0"/>
          <a:ext cx="2237267" cy="9657906"/>
        </a:xfrm>
        <a:prstGeom prst="rect">
          <a:avLst/>
        </a:prstGeom>
        <a:solidFill>
          <a:schemeClr val="accent6">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4977</xdr:rowOff>
    </xdr:from>
    <xdr:to>
      <xdr:col>2</xdr:col>
      <xdr:colOff>147550</xdr:colOff>
      <xdr:row>5</xdr:row>
      <xdr:rowOff>81064</xdr:rowOff>
    </xdr:to>
    <xdr:sp macro="" textlink="">
      <xdr:nvSpPr>
        <xdr:cNvPr id="5" name="TextBox 4"/>
        <xdr:cNvSpPr txBox="1"/>
      </xdr:nvSpPr>
      <xdr:spPr>
        <a:xfrm>
          <a:off x="0" y="4977"/>
          <a:ext cx="2113348" cy="98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accent6">
                  <a:lumMod val="60000"/>
                  <a:lumOff val="40000"/>
                </a:schemeClr>
              </a:solidFill>
              <a:latin typeface="Arial Black" panose="020B0A04020102020204" pitchFamily="34" charset="0"/>
            </a:rPr>
            <a:t>SRKD</a:t>
          </a:r>
        </a:p>
      </xdr:txBody>
    </xdr:sp>
    <xdr:clientData/>
  </xdr:twoCellAnchor>
  <xdr:twoCellAnchor>
    <xdr:from>
      <xdr:col>0</xdr:col>
      <xdr:colOff>151037</xdr:colOff>
      <xdr:row>5</xdr:row>
      <xdr:rowOff>34033</xdr:rowOff>
    </xdr:from>
    <xdr:to>
      <xdr:col>1</xdr:col>
      <xdr:colOff>1365848</xdr:colOff>
      <xdr:row>9</xdr:row>
      <xdr:rowOff>71886</xdr:rowOff>
    </xdr:to>
    <xdr:sp macro="" textlink="">
      <xdr:nvSpPr>
        <xdr:cNvPr id="8" name="TextBox 7"/>
        <xdr:cNvSpPr txBox="1"/>
      </xdr:nvSpPr>
      <xdr:spPr>
        <a:xfrm>
          <a:off x="151037" y="932618"/>
          <a:ext cx="1466415" cy="75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bg1"/>
              </a:solidFill>
              <a:effectLst/>
              <a:latin typeface="Arial" panose="020B0604020202020204" pitchFamily="34" charset="0"/>
              <a:ea typeface="+mn-ea"/>
              <a:cs typeface="Arial" panose="020B0604020202020204" pitchFamily="34" charset="0"/>
            </a:rPr>
            <a:t>total order</a:t>
          </a:r>
          <a:r>
            <a:rPr lang="en-IN" sz="1800">
              <a:solidFill>
                <a:schemeClr val="bg1"/>
              </a:solidFill>
              <a:latin typeface="Arial" panose="020B0604020202020204" pitchFamily="34" charset="0"/>
              <a:cs typeface="Arial" panose="020B0604020202020204" pitchFamily="34" charset="0"/>
            </a:rPr>
            <a:t> </a:t>
          </a:r>
        </a:p>
        <a:p>
          <a:r>
            <a:rPr lang="en-IN" sz="1800" b="0" i="0" u="none" strike="noStrike">
              <a:solidFill>
                <a:schemeClr val="bg1"/>
              </a:solidFill>
              <a:effectLst/>
              <a:latin typeface="Arial Black" panose="020B0A04020102020204" pitchFamily="34" charset="0"/>
              <a:ea typeface="+mn-ea"/>
              <a:cs typeface="+mn-cs"/>
            </a:rPr>
            <a:t>2400</a:t>
          </a:r>
          <a:r>
            <a:rPr lang="en-IN" sz="1800">
              <a:solidFill>
                <a:schemeClr val="bg1"/>
              </a:solidFill>
              <a:latin typeface="Arial Black" panose="020B0A04020102020204" pitchFamily="34" charset="0"/>
            </a:rPr>
            <a:t> </a:t>
          </a:r>
        </a:p>
      </xdr:txBody>
    </xdr:sp>
    <xdr:clientData/>
  </xdr:twoCellAnchor>
  <xdr:twoCellAnchor>
    <xdr:from>
      <xdr:col>0</xdr:col>
      <xdr:colOff>161745</xdr:colOff>
      <xdr:row>8</xdr:row>
      <xdr:rowOff>161745</xdr:rowOff>
    </xdr:from>
    <xdr:to>
      <xdr:col>1</xdr:col>
      <xdr:colOff>1376556</xdr:colOff>
      <xdr:row>13</xdr:row>
      <xdr:rowOff>19881</xdr:rowOff>
    </xdr:to>
    <xdr:sp macro="" textlink="">
      <xdr:nvSpPr>
        <xdr:cNvPr id="9" name="TextBox 8"/>
        <xdr:cNvSpPr txBox="1"/>
      </xdr:nvSpPr>
      <xdr:spPr>
        <a:xfrm>
          <a:off x="161745" y="1599481"/>
          <a:ext cx="1466415" cy="75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bg1"/>
              </a:solidFill>
              <a:effectLst/>
              <a:latin typeface="Arial" panose="020B0604020202020204" pitchFamily="34" charset="0"/>
              <a:ea typeface="+mn-ea"/>
              <a:cs typeface="Arial" panose="020B0604020202020204" pitchFamily="34" charset="0"/>
            </a:rPr>
            <a:t>amount</a:t>
          </a:r>
        </a:p>
        <a:p>
          <a:r>
            <a:rPr lang="en-IN" sz="1800" b="0" i="0" u="none" strike="noStrike">
              <a:solidFill>
                <a:schemeClr val="bg1"/>
              </a:solidFill>
              <a:effectLst/>
              <a:latin typeface="Arial" panose="020B0604020202020204" pitchFamily="34" charset="0"/>
              <a:ea typeface="+mn-ea"/>
              <a:cs typeface="Arial" panose="020B0604020202020204" pitchFamily="34" charset="0"/>
            </a:rPr>
            <a:t>$</a:t>
          </a:r>
          <a:r>
            <a:rPr lang="en-IN" sz="1800" b="0" i="0" u="none" strike="noStrike">
              <a:solidFill>
                <a:schemeClr val="bg1"/>
              </a:solidFill>
              <a:effectLst/>
              <a:latin typeface="Arial Black" panose="020B0A04020102020204" pitchFamily="34" charset="0"/>
              <a:ea typeface="+mn-ea"/>
              <a:cs typeface="Arial" panose="020B0604020202020204" pitchFamily="34" charset="0"/>
            </a:rPr>
            <a:t>649.0k</a:t>
          </a:r>
          <a:r>
            <a:rPr lang="en-IN" sz="1800">
              <a:solidFill>
                <a:schemeClr val="bg1"/>
              </a:solidFill>
              <a:latin typeface="Arial Black" panose="020B0A04020102020204" pitchFamily="34" charset="0"/>
              <a:cs typeface="Arial" panose="020B0604020202020204" pitchFamily="34" charset="0"/>
            </a:rPr>
            <a:t> </a:t>
          </a:r>
        </a:p>
      </xdr:txBody>
    </xdr:sp>
    <xdr:clientData/>
  </xdr:twoCellAnchor>
  <xdr:twoCellAnchor>
    <xdr:from>
      <xdr:col>0</xdr:col>
      <xdr:colOff>143773</xdr:colOff>
      <xdr:row>12</xdr:row>
      <xdr:rowOff>118449</xdr:rowOff>
    </xdr:from>
    <xdr:to>
      <xdr:col>1</xdr:col>
      <xdr:colOff>1358584</xdr:colOff>
      <xdr:row>17</xdr:row>
      <xdr:rowOff>129886</xdr:rowOff>
    </xdr:to>
    <xdr:sp macro="" textlink="">
      <xdr:nvSpPr>
        <xdr:cNvPr id="10" name="TextBox 9"/>
        <xdr:cNvSpPr txBox="1"/>
      </xdr:nvSpPr>
      <xdr:spPr>
        <a:xfrm>
          <a:off x="143773" y="2196631"/>
          <a:ext cx="1474584" cy="877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bg1"/>
              </a:solidFill>
              <a:effectLst/>
              <a:latin typeface="Arial" panose="020B0604020202020204" pitchFamily="34" charset="0"/>
              <a:ea typeface="+mn-ea"/>
              <a:cs typeface="Arial" panose="020B0604020202020204" pitchFamily="34" charset="0"/>
            </a:rPr>
            <a:t>quantity</a:t>
          </a:r>
          <a:r>
            <a:rPr lang="en-IN" sz="1800">
              <a:solidFill>
                <a:schemeClr val="bg1"/>
              </a:solidFill>
              <a:latin typeface="Arial Black" panose="020B0A04020102020204" pitchFamily="34" charset="0"/>
              <a:cs typeface="Arial" panose="020B0604020202020204" pitchFamily="34" charset="0"/>
            </a:rPr>
            <a:t> </a:t>
          </a:r>
          <a:r>
            <a:rPr lang="en-IN" sz="1800" b="0" i="0" u="none" strike="noStrike">
              <a:solidFill>
                <a:schemeClr val="bg1"/>
              </a:solidFill>
              <a:effectLst/>
              <a:latin typeface="Arial Black" panose="020B0A04020102020204" pitchFamily="34" charset="0"/>
              <a:ea typeface="+mn-ea"/>
              <a:cs typeface="+mn-cs"/>
            </a:rPr>
            <a:t>11,997</a:t>
          </a:r>
        </a:p>
        <a:p>
          <a:endParaRPr lang="en-IN" sz="1800">
            <a:solidFill>
              <a:schemeClr val="bg1"/>
            </a:solidFill>
            <a:latin typeface="Arial Black" panose="020B0A04020102020204" pitchFamily="34" charset="0"/>
          </a:endParaRPr>
        </a:p>
      </xdr:txBody>
    </xdr:sp>
    <xdr:clientData/>
  </xdr:twoCellAnchor>
  <xdr:twoCellAnchor>
    <xdr:from>
      <xdr:col>0</xdr:col>
      <xdr:colOff>164420</xdr:colOff>
      <xdr:row>16</xdr:row>
      <xdr:rowOff>143773</xdr:rowOff>
    </xdr:from>
    <xdr:to>
      <xdr:col>1</xdr:col>
      <xdr:colOff>1379231</xdr:colOff>
      <xdr:row>21</xdr:row>
      <xdr:rowOff>1909</xdr:rowOff>
    </xdr:to>
    <xdr:sp macro="" textlink="">
      <xdr:nvSpPr>
        <xdr:cNvPr id="11" name="TextBox 10"/>
        <xdr:cNvSpPr txBox="1"/>
      </xdr:nvSpPr>
      <xdr:spPr>
        <a:xfrm>
          <a:off x="164420" y="3019245"/>
          <a:ext cx="1466415" cy="75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bg1"/>
              </a:solidFill>
              <a:effectLst/>
              <a:latin typeface="Arial" panose="020B0604020202020204" pitchFamily="34" charset="0"/>
              <a:ea typeface="+mn-ea"/>
              <a:cs typeface="Arial" panose="020B0604020202020204" pitchFamily="34" charset="0"/>
            </a:rPr>
            <a:t>rating</a:t>
          </a:r>
          <a:r>
            <a:rPr lang="en-IN" sz="1800">
              <a:solidFill>
                <a:schemeClr val="bg1"/>
              </a:solidFill>
            </a:rPr>
            <a:t> </a:t>
          </a:r>
        </a:p>
        <a:p>
          <a:r>
            <a:rPr lang="en-IN" sz="1800" b="0" i="0" u="none" strike="noStrike">
              <a:solidFill>
                <a:schemeClr val="bg1"/>
              </a:solidFill>
              <a:effectLst/>
              <a:latin typeface="Arial Black" panose="020B0A04020102020204" pitchFamily="34" charset="0"/>
              <a:ea typeface="+mn-ea"/>
              <a:cs typeface="+mn-cs"/>
            </a:rPr>
            <a:t>4.0</a:t>
          </a:r>
          <a:r>
            <a:rPr lang="en-IN" sz="1800">
              <a:solidFill>
                <a:schemeClr val="bg1"/>
              </a:solidFill>
              <a:latin typeface="Arial Black" panose="020B0A04020102020204" pitchFamily="34" charset="0"/>
            </a:rPr>
            <a:t> </a:t>
          </a:r>
        </a:p>
      </xdr:txBody>
    </xdr:sp>
    <xdr:clientData/>
  </xdr:twoCellAnchor>
  <xdr:twoCellAnchor>
    <xdr:from>
      <xdr:col>0</xdr:col>
      <xdr:colOff>143774</xdr:colOff>
      <xdr:row>20</xdr:row>
      <xdr:rowOff>71886</xdr:rowOff>
    </xdr:from>
    <xdr:to>
      <xdr:col>1</xdr:col>
      <xdr:colOff>1358585</xdr:colOff>
      <xdr:row>24</xdr:row>
      <xdr:rowOff>109739</xdr:rowOff>
    </xdr:to>
    <xdr:sp macro="" textlink="">
      <xdr:nvSpPr>
        <xdr:cNvPr id="12" name="TextBox 11"/>
        <xdr:cNvSpPr txBox="1"/>
      </xdr:nvSpPr>
      <xdr:spPr>
        <a:xfrm>
          <a:off x="143774" y="3666226"/>
          <a:ext cx="1466415" cy="75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bg1"/>
              </a:solidFill>
              <a:effectLst/>
              <a:latin typeface="Arial" panose="020B0604020202020204" pitchFamily="34" charset="0"/>
              <a:ea typeface="+mn-ea"/>
              <a:cs typeface="Arial" panose="020B0604020202020204" pitchFamily="34" charset="0"/>
            </a:rPr>
            <a:t>days to deliver</a:t>
          </a:r>
          <a:r>
            <a:rPr lang="en-IN" sz="1400">
              <a:solidFill>
                <a:schemeClr val="bg1"/>
              </a:solidFill>
              <a:latin typeface="Arial" panose="020B0604020202020204" pitchFamily="34" charset="0"/>
              <a:cs typeface="Arial" panose="020B0604020202020204" pitchFamily="34" charset="0"/>
            </a:rPr>
            <a:t> </a:t>
          </a:r>
          <a:r>
            <a:rPr lang="en-IN" sz="1800" b="0" i="0" u="none" strike="noStrike">
              <a:solidFill>
                <a:schemeClr val="bg1"/>
              </a:solidFill>
              <a:effectLst/>
              <a:latin typeface="Arial Black" panose="020B0A04020102020204" pitchFamily="34" charset="0"/>
              <a:ea typeface="+mn-ea"/>
              <a:cs typeface="+mn-cs"/>
            </a:rPr>
            <a:t>2.3</a:t>
          </a:r>
          <a:r>
            <a:rPr lang="en-IN" sz="1800">
              <a:solidFill>
                <a:schemeClr val="bg1"/>
              </a:solidFill>
            </a:rPr>
            <a:t> </a:t>
          </a:r>
          <a:endParaRPr lang="en-IN" sz="1800">
            <a:solidFill>
              <a:schemeClr val="bg1"/>
            </a:solidFill>
            <a:latin typeface="Arial Black" panose="020B0A04020102020204" pitchFamily="34" charset="0"/>
          </a:endParaRPr>
        </a:p>
      </xdr:txBody>
    </xdr:sp>
    <xdr:clientData/>
  </xdr:twoCellAnchor>
  <xdr:twoCellAnchor>
    <xdr:from>
      <xdr:col>11</xdr:col>
      <xdr:colOff>316125</xdr:colOff>
      <xdr:row>1</xdr:row>
      <xdr:rowOff>147953</xdr:rowOff>
    </xdr:from>
    <xdr:to>
      <xdr:col>18</xdr:col>
      <xdr:colOff>343711</xdr:colOff>
      <xdr:row>20</xdr:row>
      <xdr:rowOff>66454</xdr:rowOff>
    </xdr:to>
    <xdr:sp macro="" textlink="">
      <xdr:nvSpPr>
        <xdr:cNvPr id="16" name="Rectangle 15"/>
        <xdr:cNvSpPr/>
      </xdr:nvSpPr>
      <xdr:spPr>
        <a:xfrm>
          <a:off x="7532523" y="325538"/>
          <a:ext cx="4773942" cy="329261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552156</xdr:colOff>
      <xdr:row>4</xdr:row>
      <xdr:rowOff>165195</xdr:rowOff>
    </xdr:from>
    <xdr:to>
      <xdr:col>18</xdr:col>
      <xdr:colOff>131113</xdr:colOff>
      <xdr:row>19</xdr:row>
      <xdr:rowOff>83277</xdr:rowOff>
    </xdr:to>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68554" y="875534"/>
          <a:ext cx="4325313" cy="2581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664535</xdr:colOff>
      <xdr:row>1</xdr:row>
      <xdr:rowOff>156311</xdr:rowOff>
    </xdr:from>
    <xdr:to>
      <xdr:col>26</xdr:col>
      <xdr:colOff>516297</xdr:colOff>
      <xdr:row>20</xdr:row>
      <xdr:rowOff>-1</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40902</xdr:colOff>
      <xdr:row>21</xdr:row>
      <xdr:rowOff>9103</xdr:rowOff>
    </xdr:from>
    <xdr:to>
      <xdr:col>11</xdr:col>
      <xdr:colOff>77098</xdr:colOff>
      <xdr:row>53</xdr:row>
      <xdr:rowOff>75556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521212</xdr:colOff>
      <xdr:row>35</xdr:row>
      <xdr:rowOff>100895</xdr:rowOff>
    </xdr:from>
    <xdr:to>
      <xdr:col>11</xdr:col>
      <xdr:colOff>79375</xdr:colOff>
      <xdr:row>50</xdr:row>
      <xdr:rowOff>99218</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347930</xdr:colOff>
      <xdr:row>21</xdr:row>
      <xdr:rowOff>43296</xdr:rowOff>
    </xdr:from>
    <xdr:to>
      <xdr:col>18</xdr:col>
      <xdr:colOff>359353</xdr:colOff>
      <xdr:row>53</xdr:row>
      <xdr:rowOff>64943</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610576</xdr:colOff>
      <xdr:row>37</xdr:row>
      <xdr:rowOff>144865</xdr:rowOff>
    </xdr:from>
    <xdr:to>
      <xdr:col>26</xdr:col>
      <xdr:colOff>561730</xdr:colOff>
      <xdr:row>53</xdr:row>
      <xdr:rowOff>18205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594179</xdr:colOff>
      <xdr:row>21</xdr:row>
      <xdr:rowOff>68034</xdr:rowOff>
    </xdr:from>
    <xdr:to>
      <xdr:col>26</xdr:col>
      <xdr:colOff>486455</xdr:colOff>
      <xdr:row>37</xdr:row>
      <xdr:rowOff>24422</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165653</xdr:colOff>
      <xdr:row>39</xdr:row>
      <xdr:rowOff>43295</xdr:rowOff>
    </xdr:from>
    <xdr:to>
      <xdr:col>2</xdr:col>
      <xdr:colOff>50712</xdr:colOff>
      <xdr:row>53</xdr:row>
      <xdr:rowOff>108855</xdr:rowOff>
    </xdr:to>
    <mc:AlternateContent xmlns:mc="http://schemas.openxmlformats.org/markup-compatibility/2006" xmlns:a14="http://schemas.microsoft.com/office/drawing/2010/main">
      <mc:Choice Requires="a14">
        <xdr:graphicFrame macro="">
          <xdr:nvGraphicFramePr>
            <xdr:cNvPr id="22" name="Gender Value 1"/>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65653" y="6797386"/>
              <a:ext cx="1833354" cy="2490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24</xdr:row>
      <xdr:rowOff>69574</xdr:rowOff>
    </xdr:from>
    <xdr:to>
      <xdr:col>2</xdr:col>
      <xdr:colOff>45474</xdr:colOff>
      <xdr:row>37</xdr:row>
      <xdr:rowOff>163285</xdr:rowOff>
    </xdr:to>
    <mc:AlternateContent xmlns:mc="http://schemas.openxmlformats.org/markup-compatibility/2006" xmlns:a14="http://schemas.microsoft.com/office/drawing/2010/main">
      <mc:Choice Requires="a14">
        <xdr:graphicFrame macro="">
          <xdr:nvGraphicFramePr>
            <xdr:cNvPr id="23" name="Order Mode 1"/>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52400" y="4225938"/>
              <a:ext cx="1841369" cy="2345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62799</xdr:colOff>
      <xdr:row>1</xdr:row>
      <xdr:rowOff>90715</xdr:rowOff>
    </xdr:from>
    <xdr:to>
      <xdr:col>11</xdr:col>
      <xdr:colOff>68035</xdr:colOff>
      <xdr:row>20</xdr:row>
      <xdr:rowOff>22679</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548899</xdr:colOff>
      <xdr:row>2</xdr:row>
      <xdr:rowOff>32289</xdr:rowOff>
    </xdr:from>
    <xdr:to>
      <xdr:col>17</xdr:col>
      <xdr:colOff>613475</xdr:colOff>
      <xdr:row>5</xdr:row>
      <xdr:rowOff>32289</xdr:rowOff>
    </xdr:to>
    <xdr:sp macro="" textlink="">
      <xdr:nvSpPr>
        <xdr:cNvPr id="6" name="TextBox 5"/>
        <xdr:cNvSpPr txBox="1"/>
      </xdr:nvSpPr>
      <xdr:spPr>
        <a:xfrm>
          <a:off x="8443348" y="387458"/>
          <a:ext cx="3454830" cy="53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Arial Black" panose="020B0A04020102020204" pitchFamily="34" charset="0"/>
              <a:ea typeface="+mn-ea"/>
              <a:cs typeface="+mn-cs"/>
            </a:rPr>
            <a:t>How our customers like to buy</a:t>
          </a:r>
          <a:r>
            <a:rPr lang="en-IN" sz="1400">
              <a:latin typeface="Arial Black" panose="020B0A04020102020204" pitchFamily="34" charset="0"/>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ata Sha" refreshedDate="46131.581280092592" createdVersion="5" refreshedVersion="5" minRefreshableVersion="3" recordCount="2400">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base="5">
        <rangePr groupBy="months" startDate="2025-01-01T00:00:00" endDate="2025-03-30T00:00:00"/>
        <groupItems count="14">
          <s v="&lt;01-01-2025"/>
          <s v="Jan"/>
          <s v="Feb"/>
          <s v="Mar"/>
          <s v="Apr"/>
          <s v="May"/>
          <s v="Jun"/>
          <s v="Jul"/>
          <s v="Aug"/>
          <s v="Sep"/>
          <s v="Oct"/>
          <s v="Nov"/>
          <s v="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 name="Quantity2" numFmtId="0" databaseField="0">
      <fieldGroup base="2">
        <discretePr count="48">
          <x v="1"/>
          <x v="2"/>
          <x v="3"/>
          <x v="0"/>
          <x v="6"/>
          <x v="6"/>
          <x v="6"/>
          <x v="0"/>
          <x v="0"/>
          <x v="5"/>
          <x v="6"/>
          <x v="0"/>
          <x v="4"/>
          <x v="0"/>
          <x v="6"/>
          <x v="6"/>
          <x v="6"/>
          <x v="6"/>
          <x v="6"/>
          <x v="6"/>
          <x v="6"/>
          <x v="6"/>
          <x v="6"/>
          <x v="6"/>
          <x v="6"/>
          <x v="6"/>
          <x v="6"/>
          <x v="6"/>
          <x v="6"/>
          <x v="6"/>
          <x v="6"/>
          <x v="6"/>
          <x v="6"/>
          <x v="6"/>
          <x v="6"/>
          <x v="6"/>
          <x v="6"/>
          <x v="6"/>
          <x v="6"/>
          <x v="6"/>
          <x v="6"/>
          <x v="6"/>
          <x v="6"/>
          <x v="6"/>
          <x v="6"/>
          <x v="6"/>
          <x v="6"/>
          <x v="6"/>
        </discretePr>
        <groupItems count="7">
          <s v="Group2"/>
          <s v="1"/>
          <s v="2"/>
          <s v="3"/>
          <s v="4"/>
          <s v="5"/>
          <s v="Group1"/>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Kata Sha" refreshedDate="46131.581421875002" backgroundQuery="1" createdVersion="5" refreshedVersion="5" minRefreshableVersion="3" recordCount="0" supportSubquery="1" supportAdvancedDrill="1">
  <cacheSource type="external" connectionId="1"/>
  <cacheFields count="5">
    <cacheField name="[Measures].[Count of TX ID]" caption="Count of TX ID" numFmtId="0" hierarchy="16" level="32767"/>
    <cacheField name="[Measures].[Sum of Amount]" caption="Sum of Amount" numFmtId="0" hierarchy="15" level="32767"/>
    <cacheField name="[Measures].[Sum of Quantity]" caption="Sum of Quantity" numFmtId="0" hierarchy="17" level="32767"/>
    <cacheField name="[Measures].[Average of Rating C]" caption="Average of Rating C" numFmtId="0" hierarchy="20" level="32767"/>
    <cacheField name="[Measures].[Average of Days to Deliver]" caption="Average of Days to Deliver" numFmtId="0" hierarchy="21" level="32767"/>
  </cacheFields>
  <cacheHierarchies count="24">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0"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Measures].[Sum of Amount]" caption="Sum of Amount"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Count of TX ID]" caption="Count of TX ID" measure="1" displayFolder="" measureGroup="orders" count="0" oneField="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fieldsUsage count="1">
        <fieldUsage x="2"/>
      </fieldsUsage>
      <extLst>
        <ext xmlns:x15="http://schemas.microsoft.com/office/spreadsheetml/2010/11/main" uri="{B97F6D7D-B522-45F9-BDA1-12C45D357490}">
          <x15:cacheHierarchy aggregatedColumn="2"/>
        </ext>
      </extLst>
    </cacheHierarchy>
    <cacheHierarchy uniqueName="[Measures].[Sum of Rating C]" caption="Sum of Rating C" measure="1" displayFolder="" measureGroup="orders" count="0">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oneField="1">
      <fieldsUsage count="1">
        <fieldUsage x="3"/>
      </fieldsUsage>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oneField="1">
      <fieldsUsage count="1">
        <fieldUsage x="4"/>
      </fieldsUsage>
      <extLst>
        <ext xmlns:x15="http://schemas.microsoft.com/office/spreadsheetml/2010/11/main" uri="{B97F6D7D-B522-45F9-BDA1-12C45D357490}">
          <x15:cacheHierarchy aggregatedColumn="12"/>
        </ext>
      </extLst>
    </cacheHierarchy>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Kata Sha" refreshedDate="46131.581424074073" backgroundQuery="1" createdVersion="5" refreshedVersion="5" minRefreshableVersion="3" recordCount="0" supportSubquery="1" supportAdvancedDrill="1">
  <cacheSource type="external" connectionId="1"/>
  <cacheFields count="3">
    <cacheField name="[Measures].[Sum of Quantity]" caption="Sum of Quantity" numFmtId="0" hierarchy="17" level="32767"/>
    <cacheField name="[Measures].[Sum of Amount]" caption="Sum of Amount" numFmtId="0" hierarchy="15" level="32767"/>
    <cacheField name="[orders].[Weeknum].[Weeknum]" caption="Weeknum" numFmtId="0" hierarchy="13" level="1">
      <sharedItems containsSemiMixedTypes="0" containsString="0" containsNumber="1" containsInteger="1" minValue="1" maxValue="13" count="13">
        <n v="1"/>
        <n v="2"/>
        <n v="3"/>
        <n v="4"/>
        <n v="5"/>
        <n v="6"/>
        <n v="7"/>
        <n v="8"/>
        <n v="9"/>
        <n v="10"/>
        <n v="11"/>
        <n v="12"/>
        <n v="13"/>
      </sharedItems>
      <extLst>
        <ext xmlns:x15="http://schemas.microsoft.com/office/spreadsheetml/2010/11/main" uri="{4F2E5C28-24EA-4eb8-9CBF-B6C8F9C3D259}">
          <x15:cachedUniqueNames>
            <x15:cachedUniqueName index="0" name="[orders].[Weeknum].&amp;[1]"/>
            <x15:cachedUniqueName index="1" name="[orders].[Weeknum].&amp;[2]"/>
            <x15:cachedUniqueName index="2" name="[orders].[Weeknum].&amp;[3]"/>
            <x15:cachedUniqueName index="3" name="[orders].[Weeknum].&amp;[4]"/>
            <x15:cachedUniqueName index="4" name="[orders].[Weeknum].&amp;[5]"/>
            <x15:cachedUniqueName index="5" name="[orders].[Weeknum].&amp;[6]"/>
            <x15:cachedUniqueName index="6" name="[orders].[Weeknum].&amp;[7]"/>
            <x15:cachedUniqueName index="7" name="[orders].[Weeknum].&amp;[8]"/>
            <x15:cachedUniqueName index="8" name="[orders].[Weeknum].&amp;[9]"/>
            <x15:cachedUniqueName index="9" name="[orders].[Weeknum].&amp;[10]"/>
            <x15:cachedUniqueName index="10" name="[orders].[Weeknum].&amp;[11]"/>
            <x15:cachedUniqueName index="11" name="[orders].[Weeknum].&amp;[12]"/>
            <x15:cachedUniqueName index="12" name="[orders].[Weeknum].&amp;[13]"/>
          </x15:cachedUniqueNames>
        </ext>
      </extLst>
    </cacheField>
  </cacheFields>
  <cacheHierarchies count="24">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0"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2" memberValueDatatype="20" unbalanced="0">
      <fieldsUsage count="2">
        <fieldUsage x="-1"/>
        <fieldUsage x="2"/>
      </fieldsUsage>
    </cacheHierarchy>
    <cacheHierarchy uniqueName="[orders].[Gender Value]" caption="Gender Value" attribute="1" defaultMemberUniqueName="[orders].[Gender Value].[All]" allUniqueName="[orders].[Gender Value].[All]" dimensionUniqueName="[orders]" displayFolder="" count="0" memberValueDatatype="130" unbalanced="0"/>
    <cacheHierarchy uniqueName="[Measures].[Sum of Amount]" caption="Sum of Amount"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Count of TX ID]" caption="Count of TX ID" measure="1" displayFolder="" measureGroup="orders"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fieldsUsage count="1">
        <fieldUsage x="0"/>
      </fieldsUsage>
      <extLst>
        <ext xmlns:x15="http://schemas.microsoft.com/office/spreadsheetml/2010/11/main" uri="{B97F6D7D-B522-45F9-BDA1-12C45D357490}">
          <x15:cacheHierarchy aggregatedColumn="2"/>
        </ext>
      </extLst>
    </cacheHierarchy>
    <cacheHierarchy uniqueName="[Measures].[Sum of Rating C]" caption="Sum of Rating C" measure="1" displayFolder="" measureGroup="orders" count="0">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extLst>
        <ext xmlns:x15="http://schemas.microsoft.com/office/spreadsheetml/2010/11/main" uri="{B97F6D7D-B522-45F9-BDA1-12C45D357490}">
          <x15:cacheHierarchy aggregatedColumn="12"/>
        </ext>
      </extLst>
    </cacheHierarchy>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Kata Sha" refreshedDate="46131.58142638889" backgroundQuery="1" createdVersion="5" refreshedVersion="5" minRefreshableVersion="3" recordCount="0" supportSubquery="1" supportAdvancedDrill="1">
  <cacheSource type="external" connectionId="1"/>
  <cacheFields count="3">
    <cacheField name="[orders].[Order Mode].[Order Mode]" caption="Order Mode" numFmtId="0" hierarchy="8" level="1">
      <sharedItems count="5">
        <s v="App"/>
        <s v="Instagram"/>
        <s v="Partner App"/>
        <s v="Target.com"/>
        <s v="Website"/>
      </sharedItems>
    </cacheField>
    <cacheField name="[orders].[Gender Value].[Gender Value]" caption="Gender Value" numFmtId="0" hierarchy="14" level="1">
      <sharedItems count="4">
        <s v="Female"/>
        <s v="Male"/>
        <s v="Other"/>
        <s v="Unknown"/>
      </sharedItems>
    </cacheField>
    <cacheField name="[Measures].[Sum of Amount]" caption="Sum of Amount" numFmtId="0" hierarchy="15" level="32767"/>
  </cacheFields>
  <cacheHierarchies count="24">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0"/>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1"/>
      </fieldsUsage>
    </cacheHierarchy>
    <cacheHierarchy uniqueName="[Measures].[Sum of Amount]" caption="Sum of Amount" measure="1" displayFolder="" measureGroup="orders" count="0" oneField="1">
      <fieldsUsage count="1">
        <fieldUsage x="2"/>
      </fieldsUsage>
      <extLst>
        <ext xmlns:x15="http://schemas.microsoft.com/office/spreadsheetml/2010/11/main" uri="{B97F6D7D-B522-45F9-BDA1-12C45D357490}">
          <x15:cacheHierarchy aggregatedColumn="4"/>
        </ext>
      </extLst>
    </cacheHierarchy>
    <cacheHierarchy uniqueName="[Measures].[Count of TX ID]" caption="Count of TX ID" measure="1" displayFolder="" measureGroup="orders"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
        </ext>
      </extLst>
    </cacheHierarchy>
    <cacheHierarchy uniqueName="[Measures].[Sum of Rating C]" caption="Sum of Rating C" measure="1" displayFolder="" measureGroup="orders" count="0">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extLst>
        <ext xmlns:x15="http://schemas.microsoft.com/office/spreadsheetml/2010/11/main" uri="{B97F6D7D-B522-45F9-BDA1-12C45D357490}">
          <x15:cacheHierarchy aggregatedColumn="12"/>
        </ext>
      </extLst>
    </cacheHierarchy>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Kata Sha" refreshedDate="46131.581428124999" backgroundQuery="1" createdVersion="5" refreshedVersion="5" minRefreshableVersion="3" recordCount="0" supportSubquery="1" supportAdvancedDrill="1">
  <cacheSource type="external" connectionId="1"/>
  <cacheFields count="5">
    <cacheField name="[Measures].[Count of TX ID]" caption="Count of TX ID" numFmtId="0" hierarchy="16" level="32767"/>
    <cacheField name="[Measures].[Sum of Amount]" caption="Sum of Amount" numFmtId="0" hierarchy="15" level="32767"/>
    <cacheField name="[Measures].[Sum of Quantity]" caption="Sum of Quantity" numFmtId="0" hierarchy="17" level="32767"/>
    <cacheField name="[Measures].[Average of Rating C]" caption="Average of Rating C" numFmtId="0" hierarchy="20" level="32767"/>
    <cacheField name="[Measures].[Average of Days to Deliver]" caption="Average of Days to Deliver" numFmtId="0" hierarchy="21" level="32767"/>
  </cacheFields>
  <cacheHierarchies count="24">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0"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Measures].[Sum of Amount]" caption="Sum of Amount"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Count of TX ID]" caption="Count of TX ID" measure="1" displayFolder="" measureGroup="orders" count="0" oneField="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fieldsUsage count="1">
        <fieldUsage x="2"/>
      </fieldsUsage>
      <extLst>
        <ext xmlns:x15="http://schemas.microsoft.com/office/spreadsheetml/2010/11/main" uri="{B97F6D7D-B522-45F9-BDA1-12C45D357490}">
          <x15:cacheHierarchy aggregatedColumn="2"/>
        </ext>
      </extLst>
    </cacheHierarchy>
    <cacheHierarchy uniqueName="[Measures].[Sum of Rating C]" caption="Sum of Rating C" measure="1" displayFolder="" measureGroup="orders" count="0">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oneField="1">
      <fieldsUsage count="1">
        <fieldUsage x="3"/>
      </fieldsUsage>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oneField="1">
      <fieldsUsage count="1">
        <fieldUsage x="4"/>
      </fieldsUsage>
      <extLst>
        <ext xmlns:x15="http://schemas.microsoft.com/office/spreadsheetml/2010/11/main" uri="{B97F6D7D-B522-45F9-BDA1-12C45D357490}">
          <x15:cacheHierarchy aggregatedColumn="12"/>
        </ext>
      </extLst>
    </cacheHierarchy>
    <cacheHierarchy uniqueName="[Measures].[__XL_Count orders]" caption="__XL_Count orders" measure="1" displayFolder="" measureGroup="orders" count="0" hidden="1"/>
    <cacheHierarchy uniqueName="[Measures].[__XL_Count of Models]" caption="__XL_Count of Models"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400">
  <r>
    <s v="TX500001"/>
    <x v="0"/>
    <x v="0"/>
    <n v="10.9"/>
    <n v="10.9"/>
    <x v="0"/>
    <d v="2025-01-06T00:00:00"/>
    <s v=""/>
    <x v="0"/>
    <x v="0"/>
    <x v="0"/>
    <x v="0"/>
    <x v="0"/>
    <n v="1"/>
    <x v="0"/>
  </r>
  <r>
    <s v="TX500002"/>
    <x v="1"/>
    <x v="1"/>
    <n v="30.6"/>
    <n v="61.2"/>
    <x v="0"/>
    <d v="2025-01-03T00:00:00"/>
    <s v="M"/>
    <x v="0"/>
    <x v="0"/>
    <x v="0"/>
    <x v="1"/>
    <x v="1"/>
    <n v="1"/>
    <x v="1"/>
  </r>
  <r>
    <s v="TX500003"/>
    <x v="2"/>
    <x v="2"/>
    <n v="109.4"/>
    <n v="328.20000000000005"/>
    <x v="0"/>
    <d v="2025-01-04T00:00:00"/>
    <s v="F"/>
    <x v="0"/>
    <x v="1"/>
    <x v="0"/>
    <x v="2"/>
    <x v="2"/>
    <n v="1"/>
    <x v="2"/>
  </r>
  <r>
    <s v="TX500004"/>
    <x v="3"/>
    <x v="3"/>
    <n v="37.700000000000003"/>
    <n v="263.90000000000003"/>
    <x v="0"/>
    <d v="2025-01-02T00:00:00"/>
    <s v="F"/>
    <x v="0"/>
    <x v="0"/>
    <x v="0"/>
    <x v="2"/>
    <x v="3"/>
    <n v="1"/>
    <x v="2"/>
  </r>
  <r>
    <s v="TX500005"/>
    <x v="4"/>
    <x v="2"/>
    <n v="56.7"/>
    <n v="170.10000000000002"/>
    <x v="0"/>
    <d v="2025-01-04T00:00:00"/>
    <s v="F"/>
    <x v="0"/>
    <x v="2"/>
    <x v="0"/>
    <x v="3"/>
    <x v="2"/>
    <n v="1"/>
    <x v="2"/>
  </r>
  <r>
    <s v="TX500006"/>
    <x v="1"/>
    <x v="4"/>
    <n v="83.5"/>
    <n v="1002"/>
    <x v="0"/>
    <d v="2025-01-04T00:00:00"/>
    <s v="M"/>
    <x v="1"/>
    <x v="0"/>
    <x v="0"/>
    <x v="3"/>
    <x v="2"/>
    <n v="1"/>
    <x v="1"/>
  </r>
  <r>
    <s v="TX500007"/>
    <x v="5"/>
    <x v="0"/>
    <n v="55.3"/>
    <n v="55.3"/>
    <x v="0"/>
    <d v="2025-01-02T00:00:00"/>
    <s v="F"/>
    <x v="0"/>
    <x v="0"/>
    <x v="0"/>
    <x v="3"/>
    <x v="3"/>
    <n v="1"/>
    <x v="2"/>
  </r>
  <r>
    <s v="TX500008"/>
    <x v="6"/>
    <x v="1"/>
    <n v="40.299999999999997"/>
    <n v="80.599999999999994"/>
    <x v="0"/>
    <d v="2025-01-02T00:00:00"/>
    <s v="M"/>
    <x v="2"/>
    <x v="2"/>
    <x v="0"/>
    <x v="3"/>
    <x v="3"/>
    <n v="1"/>
    <x v="1"/>
  </r>
  <r>
    <s v="TX500009"/>
    <x v="7"/>
    <x v="5"/>
    <n v="35.700000000000003"/>
    <n v="392.70000000000005"/>
    <x v="0"/>
    <d v="2025-01-02T00:00:00"/>
    <s v="F"/>
    <x v="0"/>
    <x v="0"/>
    <x v="0"/>
    <x v="3"/>
    <x v="3"/>
    <n v="1"/>
    <x v="2"/>
  </r>
  <r>
    <s v="TX500010"/>
    <x v="8"/>
    <x v="3"/>
    <n v="22.4"/>
    <n v="156.79999999999998"/>
    <x v="0"/>
    <d v="2025-01-04T00:00:00"/>
    <s v="M"/>
    <x v="0"/>
    <x v="1"/>
    <x v="0"/>
    <x v="3"/>
    <x v="2"/>
    <n v="1"/>
    <x v="1"/>
  </r>
  <r>
    <s v="TX500011"/>
    <x v="9"/>
    <x v="1"/>
    <n v="54.4"/>
    <n v="108.8"/>
    <x v="0"/>
    <d v="2025-01-07T00:00:00"/>
    <s v="F"/>
    <x v="0"/>
    <x v="0"/>
    <x v="0"/>
    <x v="3"/>
    <x v="4"/>
    <n v="1"/>
    <x v="2"/>
  </r>
  <r>
    <s v="TX500012"/>
    <x v="9"/>
    <x v="1"/>
    <n v="49"/>
    <n v="98"/>
    <x v="0"/>
    <d v="2025-01-03T00:00:00"/>
    <s v="F"/>
    <x v="2"/>
    <x v="1"/>
    <x v="0"/>
    <x v="3"/>
    <x v="1"/>
    <n v="1"/>
    <x v="2"/>
  </r>
  <r>
    <s v="TX500013"/>
    <x v="5"/>
    <x v="3"/>
    <n v="118.6"/>
    <n v="830.19999999999993"/>
    <x v="0"/>
    <d v="2025-01-05T00:00:00"/>
    <s v="F"/>
    <x v="1"/>
    <x v="0"/>
    <x v="0"/>
    <x v="4"/>
    <x v="5"/>
    <n v="1"/>
    <x v="2"/>
  </r>
  <r>
    <s v="TX500014"/>
    <x v="6"/>
    <x v="6"/>
    <n v="88.4"/>
    <n v="2386.8000000000002"/>
    <x v="0"/>
    <d v="2025-01-08T00:00:00"/>
    <s v="M"/>
    <x v="3"/>
    <x v="0"/>
    <x v="0"/>
    <x v="5"/>
    <x v="6"/>
    <n v="1"/>
    <x v="1"/>
  </r>
  <r>
    <s v="TX500015"/>
    <x v="10"/>
    <x v="0"/>
    <n v="66.7"/>
    <n v="66.7"/>
    <x v="0"/>
    <d v="2025-01-04T00:00:00"/>
    <s v="M"/>
    <x v="0"/>
    <x v="0"/>
    <x v="0"/>
    <x v="6"/>
    <x v="2"/>
    <n v="1"/>
    <x v="1"/>
  </r>
  <r>
    <s v="TX500016"/>
    <x v="9"/>
    <x v="7"/>
    <n v="30.9"/>
    <n v="309"/>
    <x v="0"/>
    <d v="2025-01-02T00:00:00"/>
    <s v="M"/>
    <x v="1"/>
    <x v="2"/>
    <x v="0"/>
    <x v="6"/>
    <x v="3"/>
    <n v="1"/>
    <x v="1"/>
  </r>
  <r>
    <s v="TX500017"/>
    <x v="4"/>
    <x v="2"/>
    <n v="31.1"/>
    <n v="93.300000000000011"/>
    <x v="0"/>
    <d v="2025-01-02T00:00:00"/>
    <s v="F"/>
    <x v="0"/>
    <x v="1"/>
    <x v="0"/>
    <x v="6"/>
    <x v="3"/>
    <n v="1"/>
    <x v="2"/>
  </r>
  <r>
    <s v="TX500018"/>
    <x v="7"/>
    <x v="2"/>
    <n v="36.6"/>
    <n v="109.80000000000001"/>
    <x v="0"/>
    <d v="2025-01-04T00:00:00"/>
    <s v="F"/>
    <x v="0"/>
    <x v="0"/>
    <x v="0"/>
    <x v="7"/>
    <x v="2"/>
    <n v="1"/>
    <x v="2"/>
  </r>
  <r>
    <s v="TX500019"/>
    <x v="6"/>
    <x v="8"/>
    <n v="51.1"/>
    <n v="408.8"/>
    <x v="0"/>
    <d v="2025-01-04T00:00:00"/>
    <s v="F"/>
    <x v="2"/>
    <x v="3"/>
    <x v="0"/>
    <x v="7"/>
    <x v="2"/>
    <n v="1"/>
    <x v="2"/>
  </r>
  <r>
    <s v="TX500020"/>
    <x v="9"/>
    <x v="0"/>
    <n v="25.2"/>
    <n v="25.2"/>
    <x v="0"/>
    <d v="2025-01-02T00:00:00"/>
    <s v="F"/>
    <x v="1"/>
    <x v="2"/>
    <x v="0"/>
    <x v="8"/>
    <x v="3"/>
    <n v="1"/>
    <x v="2"/>
  </r>
  <r>
    <s v="TX500021"/>
    <x v="9"/>
    <x v="9"/>
    <n v="43.8"/>
    <n v="219"/>
    <x v="0"/>
    <d v="2025-01-04T00:00:00"/>
    <s v="F"/>
    <x v="2"/>
    <x v="0"/>
    <x v="0"/>
    <x v="8"/>
    <x v="2"/>
    <n v="1"/>
    <x v="2"/>
  </r>
  <r>
    <s v="TX500022"/>
    <x v="8"/>
    <x v="4"/>
    <n v="46.7"/>
    <n v="560.40000000000009"/>
    <x v="0"/>
    <d v="2025-01-02T00:00:00"/>
    <s v="F"/>
    <x v="1"/>
    <x v="1"/>
    <x v="0"/>
    <x v="8"/>
    <x v="3"/>
    <n v="1"/>
    <x v="2"/>
  </r>
  <r>
    <s v="TX500023"/>
    <x v="3"/>
    <x v="10"/>
    <n v="79.900000000000006"/>
    <n v="1518.1000000000001"/>
    <x v="0"/>
    <d v="2025-01-02T00:00:00"/>
    <s v="M"/>
    <x v="0"/>
    <x v="2"/>
    <x v="0"/>
    <x v="8"/>
    <x v="3"/>
    <n v="1"/>
    <x v="1"/>
  </r>
  <r>
    <s v="TX500024"/>
    <x v="11"/>
    <x v="8"/>
    <n v="26.4"/>
    <n v="211.2"/>
    <x v="0"/>
    <d v="2025-01-02T00:00:00"/>
    <s v="F"/>
    <x v="3"/>
    <x v="0"/>
    <x v="0"/>
    <x v="8"/>
    <x v="3"/>
    <n v="1"/>
    <x v="2"/>
  </r>
  <r>
    <s v="TX500025"/>
    <x v="12"/>
    <x v="8"/>
    <n v="88.8"/>
    <n v="710.4"/>
    <x v="0"/>
    <d v="2025-01-02T00:00:00"/>
    <s v="F"/>
    <x v="4"/>
    <x v="0"/>
    <x v="0"/>
    <x v="8"/>
    <x v="3"/>
    <n v="1"/>
    <x v="2"/>
  </r>
  <r>
    <s v="TX500026"/>
    <x v="0"/>
    <x v="7"/>
    <n v="17.5"/>
    <n v="175"/>
    <x v="0"/>
    <d v="2025-01-02T00:00:00"/>
    <s v="F"/>
    <x v="2"/>
    <x v="0"/>
    <x v="0"/>
    <x v="9"/>
    <x v="3"/>
    <n v="1"/>
    <x v="2"/>
  </r>
  <r>
    <s v="TX500027"/>
    <x v="1"/>
    <x v="11"/>
    <n v="38.700000000000003"/>
    <n v="348.3"/>
    <x v="0"/>
    <d v="2025-01-04T00:00:00"/>
    <s v="M"/>
    <x v="1"/>
    <x v="0"/>
    <x v="0"/>
    <x v="10"/>
    <x v="2"/>
    <n v="1"/>
    <x v="1"/>
  </r>
  <r>
    <s v="TX500028"/>
    <x v="13"/>
    <x v="12"/>
    <n v="57.2"/>
    <n v="228.8"/>
    <x v="0"/>
    <d v="2025-01-03T00:00:00"/>
    <s v=""/>
    <x v="1"/>
    <x v="2"/>
    <x v="0"/>
    <x v="11"/>
    <x v="1"/>
    <n v="1"/>
    <x v="0"/>
  </r>
  <r>
    <s v="TX500029"/>
    <x v="6"/>
    <x v="9"/>
    <n v="50.9"/>
    <n v="254.5"/>
    <x v="0"/>
    <d v="2025-01-07T00:00:00"/>
    <s v=""/>
    <x v="1"/>
    <x v="2"/>
    <x v="0"/>
    <x v="12"/>
    <x v="4"/>
    <n v="1"/>
    <x v="0"/>
  </r>
  <r>
    <s v="TX500030"/>
    <x v="14"/>
    <x v="3"/>
    <n v="41"/>
    <n v="287"/>
    <x v="0"/>
    <d v="2025-01-05T00:00:00"/>
    <s v="F"/>
    <x v="1"/>
    <x v="0"/>
    <x v="0"/>
    <x v="13"/>
    <x v="5"/>
    <n v="1"/>
    <x v="2"/>
  </r>
  <r>
    <s v="TX500031"/>
    <x v="8"/>
    <x v="3"/>
    <n v="19.100000000000001"/>
    <n v="133.70000000000002"/>
    <x v="0"/>
    <d v="2025-01-05T00:00:00"/>
    <s v="M"/>
    <x v="0"/>
    <x v="2"/>
    <x v="0"/>
    <x v="14"/>
    <x v="5"/>
    <n v="1"/>
    <x v="1"/>
  </r>
  <r>
    <s v="TX500032"/>
    <x v="2"/>
    <x v="9"/>
    <n v="166.1"/>
    <n v="830.5"/>
    <x v="0"/>
    <d v="2025-01-04T00:00:00"/>
    <s v="M"/>
    <x v="0"/>
    <x v="0"/>
    <x v="0"/>
    <x v="15"/>
    <x v="2"/>
    <n v="1"/>
    <x v="1"/>
  </r>
  <r>
    <s v="TX500033"/>
    <x v="4"/>
    <x v="2"/>
    <n v="29.9"/>
    <n v="89.699999999999989"/>
    <x v="0"/>
    <d v="2025-01-02T00:00:00"/>
    <s v="M"/>
    <x v="3"/>
    <x v="0"/>
    <x v="0"/>
    <x v="3"/>
    <x v="3"/>
    <n v="1"/>
    <x v="1"/>
  </r>
  <r>
    <s v="TX500034"/>
    <x v="10"/>
    <x v="13"/>
    <n v="21.7"/>
    <n v="130.19999999999999"/>
    <x v="0"/>
    <d v="2025-01-03T00:00:00"/>
    <s v="O"/>
    <x v="2"/>
    <x v="2"/>
    <x v="0"/>
    <x v="3"/>
    <x v="1"/>
    <n v="1"/>
    <x v="3"/>
  </r>
  <r>
    <s v="TX500035"/>
    <x v="11"/>
    <x v="1"/>
    <n v="32"/>
    <n v="64"/>
    <x v="0"/>
    <d v="2025-01-04T00:00:00"/>
    <s v="M"/>
    <x v="0"/>
    <x v="2"/>
    <x v="0"/>
    <x v="3"/>
    <x v="2"/>
    <n v="1"/>
    <x v="1"/>
  </r>
  <r>
    <s v="TX500036"/>
    <x v="8"/>
    <x v="1"/>
    <n v="15.8"/>
    <n v="31.6"/>
    <x v="0"/>
    <d v="2025-01-02T00:00:00"/>
    <s v="M"/>
    <x v="4"/>
    <x v="2"/>
    <x v="0"/>
    <x v="3"/>
    <x v="3"/>
    <n v="1"/>
    <x v="1"/>
  </r>
  <r>
    <s v="TX500037"/>
    <x v="2"/>
    <x v="14"/>
    <n v="203.1"/>
    <n v="3452.7"/>
    <x v="0"/>
    <d v="2025-01-05T00:00:00"/>
    <s v="M"/>
    <x v="3"/>
    <x v="1"/>
    <x v="0"/>
    <x v="3"/>
    <x v="5"/>
    <n v="1"/>
    <x v="1"/>
  </r>
  <r>
    <s v="TX500038"/>
    <x v="7"/>
    <x v="15"/>
    <n v="39"/>
    <n v="507"/>
    <x v="0"/>
    <d v="2025-01-07T00:00:00"/>
    <s v="M"/>
    <x v="0"/>
    <x v="2"/>
    <x v="0"/>
    <x v="3"/>
    <x v="4"/>
    <n v="1"/>
    <x v="1"/>
  </r>
  <r>
    <s v="TX500039"/>
    <x v="10"/>
    <x v="0"/>
    <n v="26.5"/>
    <n v="26.5"/>
    <x v="1"/>
    <d v="2025-01-03T00:00:00"/>
    <s v="M"/>
    <x v="2"/>
    <x v="0"/>
    <x v="0"/>
    <x v="3"/>
    <x v="3"/>
    <n v="1"/>
    <x v="1"/>
  </r>
  <r>
    <s v="TX500040"/>
    <x v="5"/>
    <x v="0"/>
    <n v="43.1"/>
    <n v="43.1"/>
    <x v="1"/>
    <d v="2025-01-03T00:00:00"/>
    <s v="F"/>
    <x v="2"/>
    <x v="1"/>
    <x v="0"/>
    <x v="3"/>
    <x v="3"/>
    <n v="1"/>
    <x v="2"/>
  </r>
  <r>
    <s v="TX500041"/>
    <x v="1"/>
    <x v="2"/>
    <n v="139"/>
    <n v="417"/>
    <x v="1"/>
    <d v="2025-01-03T00:00:00"/>
    <s v="F"/>
    <x v="4"/>
    <x v="2"/>
    <x v="0"/>
    <x v="3"/>
    <x v="3"/>
    <n v="1"/>
    <x v="2"/>
  </r>
  <r>
    <s v="TX500042"/>
    <x v="12"/>
    <x v="0"/>
    <n v="80.7"/>
    <n v="80.7"/>
    <x v="1"/>
    <d v="2025-01-03T00:00:00"/>
    <s v="M"/>
    <x v="0"/>
    <x v="2"/>
    <x v="0"/>
    <x v="16"/>
    <x v="3"/>
    <n v="1"/>
    <x v="1"/>
  </r>
  <r>
    <s v="TX500043"/>
    <x v="4"/>
    <x v="1"/>
    <n v="54.5"/>
    <n v="109"/>
    <x v="1"/>
    <d v="2025-01-04T00:00:00"/>
    <s v="M"/>
    <x v="1"/>
    <x v="1"/>
    <x v="0"/>
    <x v="6"/>
    <x v="1"/>
    <n v="1"/>
    <x v="1"/>
  </r>
  <r>
    <s v="TX500044"/>
    <x v="6"/>
    <x v="2"/>
    <n v="68.599999999999994"/>
    <n v="205.79999999999998"/>
    <x v="1"/>
    <d v="2025-01-02T00:00:00"/>
    <s v="F"/>
    <x v="0"/>
    <x v="1"/>
    <x v="0"/>
    <x v="8"/>
    <x v="7"/>
    <n v="1"/>
    <x v="2"/>
  </r>
  <r>
    <s v="TX500045"/>
    <x v="2"/>
    <x v="12"/>
    <n v="135.9"/>
    <n v="543.6"/>
    <x v="1"/>
    <d v="2025-01-03T00:00:00"/>
    <s v="F"/>
    <x v="2"/>
    <x v="2"/>
    <x v="0"/>
    <x v="8"/>
    <x v="3"/>
    <n v="1"/>
    <x v="2"/>
  </r>
  <r>
    <s v="TX500046"/>
    <x v="2"/>
    <x v="12"/>
    <n v="70.900000000000006"/>
    <n v="283.60000000000002"/>
    <x v="1"/>
    <d v="2025-01-03T00:00:00"/>
    <s v="F"/>
    <x v="0"/>
    <x v="0"/>
    <x v="0"/>
    <x v="17"/>
    <x v="3"/>
    <n v="1"/>
    <x v="2"/>
  </r>
  <r>
    <s v="TX500047"/>
    <x v="1"/>
    <x v="9"/>
    <n v="63.7"/>
    <n v="318.5"/>
    <x v="1"/>
    <d v="2025-01-03T00:00:00"/>
    <s v="M"/>
    <x v="1"/>
    <x v="1"/>
    <x v="0"/>
    <x v="9"/>
    <x v="3"/>
    <n v="1"/>
    <x v="1"/>
  </r>
  <r>
    <s v="TX500048"/>
    <x v="13"/>
    <x v="0"/>
    <n v="29.7"/>
    <n v="29.7"/>
    <x v="1"/>
    <d v="2025-01-04T00:00:00"/>
    <s v="F"/>
    <x v="1"/>
    <x v="0"/>
    <x v="0"/>
    <x v="11"/>
    <x v="1"/>
    <n v="1"/>
    <x v="2"/>
  </r>
  <r>
    <s v="TX500049"/>
    <x v="4"/>
    <x v="2"/>
    <n v="26.8"/>
    <n v="80.400000000000006"/>
    <x v="1"/>
    <d v="2025-01-11T00:00:00"/>
    <s v="F"/>
    <x v="1"/>
    <x v="2"/>
    <x v="0"/>
    <x v="11"/>
    <x v="8"/>
    <n v="1"/>
    <x v="2"/>
  </r>
  <r>
    <s v="TX500050"/>
    <x v="14"/>
    <x v="0"/>
    <n v="27"/>
    <n v="27"/>
    <x v="1"/>
    <d v="2025-01-04T00:00:00"/>
    <s v="F"/>
    <x v="0"/>
    <x v="0"/>
    <x v="0"/>
    <x v="18"/>
    <x v="1"/>
    <n v="1"/>
    <x v="2"/>
  </r>
  <r>
    <s v="TX500051"/>
    <x v="8"/>
    <x v="0"/>
    <n v="41.4"/>
    <n v="41.4"/>
    <x v="1"/>
    <d v="2025-01-03T00:00:00"/>
    <s v="M"/>
    <x v="1"/>
    <x v="2"/>
    <x v="0"/>
    <x v="19"/>
    <x v="3"/>
    <n v="1"/>
    <x v="1"/>
  </r>
  <r>
    <s v="TX500052"/>
    <x v="8"/>
    <x v="1"/>
    <n v="24.3"/>
    <n v="48.6"/>
    <x v="1"/>
    <d v="2025-01-05T00:00:00"/>
    <s v="F"/>
    <x v="1"/>
    <x v="0"/>
    <x v="0"/>
    <x v="19"/>
    <x v="2"/>
    <n v="1"/>
    <x v="2"/>
  </r>
  <r>
    <s v="TX500053"/>
    <x v="8"/>
    <x v="2"/>
    <n v="41.7"/>
    <n v="125.10000000000001"/>
    <x v="1"/>
    <d v="2025-01-04T00:00:00"/>
    <s v="M"/>
    <x v="0"/>
    <x v="2"/>
    <x v="0"/>
    <x v="20"/>
    <x v="1"/>
    <n v="1"/>
    <x v="1"/>
  </r>
  <r>
    <s v="TX500054"/>
    <x v="0"/>
    <x v="1"/>
    <n v="18"/>
    <n v="36"/>
    <x v="1"/>
    <d v="2025-01-03T00:00:00"/>
    <s v="F"/>
    <x v="0"/>
    <x v="2"/>
    <x v="0"/>
    <x v="21"/>
    <x v="3"/>
    <n v="1"/>
    <x v="2"/>
  </r>
  <r>
    <s v="TX500055"/>
    <x v="7"/>
    <x v="2"/>
    <n v="91.3"/>
    <n v="273.89999999999998"/>
    <x v="1"/>
    <d v="2025-01-05T00:00:00"/>
    <s v="M"/>
    <x v="2"/>
    <x v="2"/>
    <x v="0"/>
    <x v="3"/>
    <x v="2"/>
    <n v="1"/>
    <x v="1"/>
  </r>
  <r>
    <s v="TX500056"/>
    <x v="8"/>
    <x v="8"/>
    <n v="19.3"/>
    <n v="154.4"/>
    <x v="1"/>
    <d v="2025-01-03T00:00:00"/>
    <s v="M"/>
    <x v="0"/>
    <x v="0"/>
    <x v="0"/>
    <x v="3"/>
    <x v="3"/>
    <n v="1"/>
    <x v="1"/>
  </r>
  <r>
    <s v="TX500057"/>
    <x v="12"/>
    <x v="15"/>
    <n v="63.2"/>
    <n v="821.6"/>
    <x v="1"/>
    <d v="2025-01-03T00:00:00"/>
    <s v="F"/>
    <x v="0"/>
    <x v="0"/>
    <x v="0"/>
    <x v="3"/>
    <x v="3"/>
    <n v="1"/>
    <x v="2"/>
  </r>
  <r>
    <s v="TX500058"/>
    <x v="10"/>
    <x v="11"/>
    <n v="33.299999999999997"/>
    <n v="299.7"/>
    <x v="2"/>
    <d v="2025-01-11T00:00:00"/>
    <s v="F"/>
    <x v="0"/>
    <x v="2"/>
    <x v="0"/>
    <x v="3"/>
    <x v="9"/>
    <n v="1"/>
    <x v="2"/>
  </r>
  <r>
    <s v="TX500059"/>
    <x v="7"/>
    <x v="1"/>
    <n v="64.2"/>
    <n v="128.4"/>
    <x v="2"/>
    <d v="2025-01-04T00:00:00"/>
    <s v="M"/>
    <x v="0"/>
    <x v="2"/>
    <x v="0"/>
    <x v="3"/>
    <x v="3"/>
    <n v="1"/>
    <x v="1"/>
  </r>
  <r>
    <s v="TX500060"/>
    <x v="9"/>
    <x v="2"/>
    <n v="23.1"/>
    <n v="69.300000000000011"/>
    <x v="2"/>
    <d v="2025-01-06T00:00:00"/>
    <s v="F"/>
    <x v="1"/>
    <x v="2"/>
    <x v="0"/>
    <x v="3"/>
    <x v="2"/>
    <n v="1"/>
    <x v="2"/>
  </r>
  <r>
    <s v="TX500061"/>
    <x v="15"/>
    <x v="1"/>
    <n v="71.099999999999994"/>
    <n v="142.19999999999999"/>
    <x v="2"/>
    <d v="2025-01-05T00:00:00"/>
    <s v="F"/>
    <x v="3"/>
    <x v="1"/>
    <x v="0"/>
    <x v="3"/>
    <x v="1"/>
    <n v="1"/>
    <x v="2"/>
  </r>
  <r>
    <s v="TX500062"/>
    <x v="0"/>
    <x v="1"/>
    <n v="11.5"/>
    <n v="23"/>
    <x v="2"/>
    <d v="2025-01-04T00:00:00"/>
    <s v="F"/>
    <x v="0"/>
    <x v="0"/>
    <x v="0"/>
    <x v="3"/>
    <x v="3"/>
    <n v="1"/>
    <x v="2"/>
  </r>
  <r>
    <s v="TX500063"/>
    <x v="15"/>
    <x v="10"/>
    <n v="69.2"/>
    <n v="1314.8"/>
    <x v="2"/>
    <d v="2025-01-08T00:00:00"/>
    <s v="F"/>
    <x v="0"/>
    <x v="0"/>
    <x v="0"/>
    <x v="3"/>
    <x v="0"/>
    <n v="1"/>
    <x v="2"/>
  </r>
  <r>
    <s v="TX500064"/>
    <x v="0"/>
    <x v="0"/>
    <n v="26.8"/>
    <n v="26.8"/>
    <x v="2"/>
    <d v="2025-01-04T00:00:00"/>
    <s v="M"/>
    <x v="2"/>
    <x v="4"/>
    <x v="0"/>
    <x v="3"/>
    <x v="3"/>
    <n v="1"/>
    <x v="1"/>
  </r>
  <r>
    <s v="TX500065"/>
    <x v="16"/>
    <x v="2"/>
    <n v="31.2"/>
    <n v="93.6"/>
    <x v="2"/>
    <d v="2025-01-06T00:00:00"/>
    <s v="F"/>
    <x v="0"/>
    <x v="0"/>
    <x v="0"/>
    <x v="3"/>
    <x v="2"/>
    <n v="1"/>
    <x v="2"/>
  </r>
  <r>
    <s v="TX500066"/>
    <x v="12"/>
    <x v="1"/>
    <n v="113.2"/>
    <n v="226.4"/>
    <x v="2"/>
    <d v="2025-01-04T00:00:00"/>
    <s v="F"/>
    <x v="4"/>
    <x v="0"/>
    <x v="0"/>
    <x v="3"/>
    <x v="3"/>
    <n v="1"/>
    <x v="2"/>
  </r>
  <r>
    <s v="TX500067"/>
    <x v="10"/>
    <x v="8"/>
    <n v="21"/>
    <n v="168"/>
    <x v="2"/>
    <d v="2025-01-04T00:00:00"/>
    <s v="M"/>
    <x v="0"/>
    <x v="0"/>
    <x v="0"/>
    <x v="6"/>
    <x v="3"/>
    <n v="1"/>
    <x v="1"/>
  </r>
  <r>
    <s v="TX500068"/>
    <x v="1"/>
    <x v="1"/>
    <n v="89.1"/>
    <n v="178.2"/>
    <x v="2"/>
    <d v="2025-01-04T00:00:00"/>
    <s v="F"/>
    <x v="2"/>
    <x v="2"/>
    <x v="0"/>
    <x v="6"/>
    <x v="3"/>
    <n v="1"/>
    <x v="2"/>
  </r>
  <r>
    <s v="TX500069"/>
    <x v="1"/>
    <x v="0"/>
    <n v="97.7"/>
    <n v="97.7"/>
    <x v="2"/>
    <d v="2025-01-05T00:00:00"/>
    <s v="F"/>
    <x v="0"/>
    <x v="1"/>
    <x v="0"/>
    <x v="6"/>
    <x v="1"/>
    <n v="1"/>
    <x v="2"/>
  </r>
  <r>
    <s v="TX500070"/>
    <x v="15"/>
    <x v="12"/>
    <n v="97.7"/>
    <n v="390.8"/>
    <x v="2"/>
    <d v="2025-01-05T00:00:00"/>
    <s v="M"/>
    <x v="3"/>
    <x v="0"/>
    <x v="0"/>
    <x v="6"/>
    <x v="1"/>
    <n v="1"/>
    <x v="1"/>
  </r>
  <r>
    <s v="TX500071"/>
    <x v="17"/>
    <x v="2"/>
    <n v="47.4"/>
    <n v="142.19999999999999"/>
    <x v="2"/>
    <d v="2025-01-06T00:00:00"/>
    <s v="M"/>
    <x v="3"/>
    <x v="2"/>
    <x v="0"/>
    <x v="8"/>
    <x v="2"/>
    <n v="1"/>
    <x v="1"/>
  </r>
  <r>
    <s v="TX500072"/>
    <x v="7"/>
    <x v="0"/>
    <n v="89.6"/>
    <n v="89.6"/>
    <x v="2"/>
    <d v="2025-01-06T00:00:00"/>
    <s v="F"/>
    <x v="0"/>
    <x v="2"/>
    <x v="0"/>
    <x v="8"/>
    <x v="2"/>
    <n v="1"/>
    <x v="2"/>
  </r>
  <r>
    <s v="TX500073"/>
    <x v="10"/>
    <x v="16"/>
    <n v="28.4"/>
    <n v="511.2"/>
    <x v="2"/>
    <d v="2025-01-06T00:00:00"/>
    <s v="F"/>
    <x v="3"/>
    <x v="2"/>
    <x v="0"/>
    <x v="17"/>
    <x v="2"/>
    <n v="1"/>
    <x v="2"/>
  </r>
  <r>
    <s v="TX500074"/>
    <x v="0"/>
    <x v="1"/>
    <n v="17.899999999999999"/>
    <n v="35.799999999999997"/>
    <x v="2"/>
    <d v="2025-01-04T00:00:00"/>
    <s v="F"/>
    <x v="0"/>
    <x v="2"/>
    <x v="0"/>
    <x v="9"/>
    <x v="3"/>
    <n v="1"/>
    <x v="2"/>
  </r>
  <r>
    <s v="TX500075"/>
    <x v="9"/>
    <x v="1"/>
    <n v="48.4"/>
    <n v="96.8"/>
    <x v="2"/>
    <d v="2025-01-06T00:00:00"/>
    <s v="M"/>
    <x v="1"/>
    <x v="0"/>
    <x v="0"/>
    <x v="9"/>
    <x v="2"/>
    <n v="1"/>
    <x v="1"/>
  </r>
  <r>
    <s v="TX500076"/>
    <x v="12"/>
    <x v="12"/>
    <n v="44.4"/>
    <n v="177.6"/>
    <x v="2"/>
    <d v="2025-01-04T00:00:00"/>
    <s v="O"/>
    <x v="1"/>
    <x v="1"/>
    <x v="0"/>
    <x v="11"/>
    <x v="3"/>
    <n v="1"/>
    <x v="3"/>
  </r>
  <r>
    <s v="TX500077"/>
    <x v="2"/>
    <x v="8"/>
    <n v="103.7"/>
    <n v="829.6"/>
    <x v="2"/>
    <d v="2025-01-04T00:00:00"/>
    <s v="F"/>
    <x v="0"/>
    <x v="1"/>
    <x v="0"/>
    <x v="19"/>
    <x v="3"/>
    <n v="1"/>
    <x v="2"/>
  </r>
  <r>
    <s v="TX500078"/>
    <x v="5"/>
    <x v="12"/>
    <n v="58.6"/>
    <n v="234.4"/>
    <x v="2"/>
    <d v="2025-01-05T00:00:00"/>
    <s v="M"/>
    <x v="3"/>
    <x v="0"/>
    <x v="0"/>
    <x v="19"/>
    <x v="1"/>
    <n v="1"/>
    <x v="1"/>
  </r>
  <r>
    <s v="TX500079"/>
    <x v="9"/>
    <x v="12"/>
    <n v="54.8"/>
    <n v="219.2"/>
    <x v="2"/>
    <d v="2025-01-07T00:00:00"/>
    <s v="F"/>
    <x v="2"/>
    <x v="1"/>
    <x v="0"/>
    <x v="13"/>
    <x v="5"/>
    <n v="1"/>
    <x v="2"/>
  </r>
  <r>
    <s v="TX500080"/>
    <x v="12"/>
    <x v="2"/>
    <n v="78.8"/>
    <n v="236.39999999999998"/>
    <x v="2"/>
    <d v="2025-01-09T00:00:00"/>
    <s v="F"/>
    <x v="4"/>
    <x v="1"/>
    <x v="0"/>
    <x v="21"/>
    <x v="4"/>
    <n v="1"/>
    <x v="2"/>
  </r>
  <r>
    <s v="TX500081"/>
    <x v="18"/>
    <x v="9"/>
    <n v="36.799999999999997"/>
    <n v="184"/>
    <x v="2"/>
    <d v="2025-01-06T00:00:00"/>
    <s v="M"/>
    <x v="4"/>
    <x v="1"/>
    <x v="0"/>
    <x v="22"/>
    <x v="2"/>
    <n v="1"/>
    <x v="1"/>
  </r>
  <r>
    <s v="TX500082"/>
    <x v="6"/>
    <x v="13"/>
    <n v="50.6"/>
    <n v="303.60000000000002"/>
    <x v="2"/>
    <d v="2025-01-05T00:00:00"/>
    <s v="F"/>
    <x v="3"/>
    <x v="0"/>
    <x v="0"/>
    <x v="3"/>
    <x v="1"/>
    <n v="1"/>
    <x v="2"/>
  </r>
  <r>
    <s v="TX500083"/>
    <x v="15"/>
    <x v="2"/>
    <n v="36.799999999999997"/>
    <n v="110.39999999999999"/>
    <x v="2"/>
    <d v="2025-01-03T00:00:00"/>
    <s v="M"/>
    <x v="2"/>
    <x v="1"/>
    <x v="0"/>
    <x v="3"/>
    <x v="7"/>
    <n v="1"/>
    <x v="1"/>
  </r>
  <r>
    <s v="TX500084"/>
    <x v="8"/>
    <x v="11"/>
    <n v="41.8"/>
    <n v="376.2"/>
    <x v="3"/>
    <d v="2025-01-10T00:00:00"/>
    <s v="F"/>
    <x v="3"/>
    <x v="0"/>
    <x v="0"/>
    <x v="3"/>
    <x v="4"/>
    <n v="1"/>
    <x v="2"/>
  </r>
  <r>
    <s v="TX500085"/>
    <x v="18"/>
    <x v="0"/>
    <n v="77.3"/>
    <n v="77.3"/>
    <x v="3"/>
    <d v="2025-01-05T00:00:00"/>
    <s v="M"/>
    <x v="4"/>
    <x v="4"/>
    <x v="0"/>
    <x v="3"/>
    <x v="3"/>
    <n v="1"/>
    <x v="1"/>
  </r>
  <r>
    <s v="TX500086"/>
    <x v="8"/>
    <x v="12"/>
    <n v="19.8"/>
    <n v="79.2"/>
    <x v="3"/>
    <d v="2025-01-10T00:00:00"/>
    <s v="M"/>
    <x v="1"/>
    <x v="2"/>
    <x v="0"/>
    <x v="3"/>
    <x v="4"/>
    <n v="1"/>
    <x v="1"/>
  </r>
  <r>
    <s v="TX500087"/>
    <x v="13"/>
    <x v="12"/>
    <n v="15.5"/>
    <n v="62"/>
    <x v="3"/>
    <d v="2025-01-05T00:00:00"/>
    <s v="F"/>
    <x v="1"/>
    <x v="2"/>
    <x v="0"/>
    <x v="3"/>
    <x v="3"/>
    <n v="1"/>
    <x v="2"/>
  </r>
  <r>
    <s v="TX500088"/>
    <x v="12"/>
    <x v="0"/>
    <n v="46.8"/>
    <n v="46.8"/>
    <x v="3"/>
    <d v="2025-01-08T00:00:00"/>
    <s v="M"/>
    <x v="0"/>
    <x v="2"/>
    <x v="0"/>
    <x v="3"/>
    <x v="5"/>
    <n v="1"/>
    <x v="1"/>
  </r>
  <r>
    <s v="TX500089"/>
    <x v="9"/>
    <x v="11"/>
    <n v="28.6"/>
    <n v="257.40000000000003"/>
    <x v="3"/>
    <d v="2025-01-08T00:00:00"/>
    <s v="M"/>
    <x v="0"/>
    <x v="2"/>
    <x v="0"/>
    <x v="3"/>
    <x v="5"/>
    <n v="1"/>
    <x v="1"/>
  </r>
  <r>
    <s v="TX500090"/>
    <x v="2"/>
    <x v="0"/>
    <n v="97.7"/>
    <n v="97.7"/>
    <x v="3"/>
    <d v="2025-01-07T00:00:00"/>
    <s v="F"/>
    <x v="1"/>
    <x v="0"/>
    <x v="0"/>
    <x v="3"/>
    <x v="2"/>
    <n v="1"/>
    <x v="2"/>
  </r>
  <r>
    <s v="TX500091"/>
    <x v="9"/>
    <x v="9"/>
    <n v="54.7"/>
    <n v="273.5"/>
    <x v="3"/>
    <d v="2025-01-07T00:00:00"/>
    <s v=""/>
    <x v="0"/>
    <x v="2"/>
    <x v="0"/>
    <x v="23"/>
    <x v="2"/>
    <n v="1"/>
    <x v="0"/>
  </r>
  <r>
    <s v="TX500092"/>
    <x v="2"/>
    <x v="13"/>
    <n v="130.5"/>
    <n v="783"/>
    <x v="3"/>
    <d v="2025-01-06T00:00:00"/>
    <s v="F"/>
    <x v="0"/>
    <x v="1"/>
    <x v="0"/>
    <x v="23"/>
    <x v="1"/>
    <n v="1"/>
    <x v="2"/>
  </r>
  <r>
    <s v="TX500093"/>
    <x v="11"/>
    <x v="1"/>
    <n v="50.4"/>
    <n v="100.8"/>
    <x v="3"/>
    <d v="2025-01-06T00:00:00"/>
    <s v="M"/>
    <x v="2"/>
    <x v="2"/>
    <x v="0"/>
    <x v="6"/>
    <x v="1"/>
    <n v="1"/>
    <x v="1"/>
  </r>
  <r>
    <s v="TX500094"/>
    <x v="6"/>
    <x v="15"/>
    <n v="61.5"/>
    <n v="799.5"/>
    <x v="3"/>
    <d v="2025-01-05T00:00:00"/>
    <s v=""/>
    <x v="3"/>
    <x v="1"/>
    <x v="0"/>
    <x v="11"/>
    <x v="3"/>
    <n v="1"/>
    <x v="0"/>
  </r>
  <r>
    <s v="TX500095"/>
    <x v="9"/>
    <x v="12"/>
    <n v="30.1"/>
    <n v="120.4"/>
    <x v="3"/>
    <d v="2025-01-05T00:00:00"/>
    <s v="F"/>
    <x v="0"/>
    <x v="2"/>
    <x v="0"/>
    <x v="21"/>
    <x v="3"/>
    <n v="1"/>
    <x v="2"/>
  </r>
  <r>
    <s v="TX500096"/>
    <x v="2"/>
    <x v="9"/>
    <n v="74.8"/>
    <n v="374"/>
    <x v="3"/>
    <d v="2025-01-05T00:00:00"/>
    <s v="F"/>
    <x v="1"/>
    <x v="0"/>
    <x v="0"/>
    <x v="1"/>
    <x v="3"/>
    <n v="1"/>
    <x v="2"/>
  </r>
  <r>
    <s v="TX500097"/>
    <x v="16"/>
    <x v="2"/>
    <n v="64.900000000000006"/>
    <n v="194.70000000000002"/>
    <x v="3"/>
    <d v="2025-01-11T00:00:00"/>
    <s v="M"/>
    <x v="0"/>
    <x v="0"/>
    <x v="0"/>
    <x v="2"/>
    <x v="6"/>
    <n v="1"/>
    <x v="1"/>
  </r>
  <r>
    <s v="TX500098"/>
    <x v="9"/>
    <x v="1"/>
    <n v="50.5"/>
    <n v="101"/>
    <x v="3"/>
    <d v="2025-01-06T00:00:00"/>
    <s v="M"/>
    <x v="1"/>
    <x v="0"/>
    <x v="0"/>
    <x v="22"/>
    <x v="1"/>
    <n v="1"/>
    <x v="1"/>
  </r>
  <r>
    <s v="TX500099"/>
    <x v="11"/>
    <x v="3"/>
    <n v="63"/>
    <n v="441"/>
    <x v="3"/>
    <d v="2025-01-07T00:00:00"/>
    <s v="M"/>
    <x v="3"/>
    <x v="2"/>
    <x v="0"/>
    <x v="3"/>
    <x v="2"/>
    <n v="1"/>
    <x v="1"/>
  </r>
  <r>
    <s v="TX500100"/>
    <x v="2"/>
    <x v="2"/>
    <n v="93.6"/>
    <n v="280.79999999999995"/>
    <x v="3"/>
    <d v="2025-01-17T00:00:00"/>
    <s v="F"/>
    <x v="0"/>
    <x v="2"/>
    <x v="0"/>
    <x v="3"/>
    <x v="10"/>
    <n v="1"/>
    <x v="2"/>
  </r>
  <r>
    <s v="TX500101"/>
    <x v="5"/>
    <x v="17"/>
    <n v="41.4"/>
    <n v="1242"/>
    <x v="3"/>
    <d v="2025-01-08T00:00:00"/>
    <s v="M"/>
    <x v="2"/>
    <x v="2"/>
    <x v="0"/>
    <x v="3"/>
    <x v="5"/>
    <n v="1"/>
    <x v="1"/>
  </r>
  <r>
    <s v="TX500102"/>
    <x v="2"/>
    <x v="1"/>
    <n v="160"/>
    <n v="320"/>
    <x v="4"/>
    <d v="2025-01-06T00:00:00"/>
    <s v="M"/>
    <x v="2"/>
    <x v="2"/>
    <x v="0"/>
    <x v="5"/>
    <x v="3"/>
    <n v="2"/>
    <x v="1"/>
  </r>
  <r>
    <s v="TX500103"/>
    <x v="19"/>
    <x v="5"/>
    <n v="10.5"/>
    <n v="115.5"/>
    <x v="4"/>
    <d v="2025-01-08T00:00:00"/>
    <s v="F"/>
    <x v="4"/>
    <x v="0"/>
    <x v="0"/>
    <x v="8"/>
    <x v="2"/>
    <n v="2"/>
    <x v="2"/>
  </r>
  <r>
    <s v="TX500104"/>
    <x v="10"/>
    <x v="1"/>
    <n v="53"/>
    <n v="106"/>
    <x v="4"/>
    <d v="2025-01-05T00:00:00"/>
    <s v="M"/>
    <x v="2"/>
    <x v="4"/>
    <x v="0"/>
    <x v="17"/>
    <x v="7"/>
    <n v="2"/>
    <x v="1"/>
  </r>
  <r>
    <s v="TX500105"/>
    <x v="8"/>
    <x v="2"/>
    <n v="18.5"/>
    <n v="55.5"/>
    <x v="4"/>
    <d v="2025-01-10T00:00:00"/>
    <s v="F"/>
    <x v="1"/>
    <x v="2"/>
    <x v="0"/>
    <x v="11"/>
    <x v="0"/>
    <n v="2"/>
    <x v="2"/>
  </r>
  <r>
    <s v="TX500106"/>
    <x v="16"/>
    <x v="2"/>
    <n v="84.5"/>
    <n v="253.5"/>
    <x v="4"/>
    <d v="2025-01-07T00:00:00"/>
    <s v="F"/>
    <x v="4"/>
    <x v="1"/>
    <x v="0"/>
    <x v="13"/>
    <x v="1"/>
    <n v="2"/>
    <x v="2"/>
  </r>
  <r>
    <s v="TX500107"/>
    <x v="15"/>
    <x v="3"/>
    <n v="31.2"/>
    <n v="218.4"/>
    <x v="4"/>
    <d v="2025-01-05T00:00:00"/>
    <s v="F"/>
    <x v="2"/>
    <x v="2"/>
    <x v="0"/>
    <x v="3"/>
    <x v="7"/>
    <n v="2"/>
    <x v="2"/>
  </r>
  <r>
    <s v="TX500108"/>
    <x v="8"/>
    <x v="16"/>
    <n v="32.6"/>
    <n v="586.80000000000007"/>
    <x v="4"/>
    <d v="2025-01-06T00:00:00"/>
    <s v="M"/>
    <x v="1"/>
    <x v="1"/>
    <x v="0"/>
    <x v="3"/>
    <x v="3"/>
    <n v="2"/>
    <x v="1"/>
  </r>
  <r>
    <s v="TX500109"/>
    <x v="10"/>
    <x v="12"/>
    <n v="45.4"/>
    <n v="181.6"/>
    <x v="4"/>
    <d v="2025-01-07T00:00:00"/>
    <s v="M"/>
    <x v="1"/>
    <x v="0"/>
    <x v="0"/>
    <x v="3"/>
    <x v="1"/>
    <n v="2"/>
    <x v="1"/>
  </r>
  <r>
    <s v="TX500110"/>
    <x v="2"/>
    <x v="4"/>
    <n v="120"/>
    <n v="1440"/>
    <x v="4"/>
    <d v="2025-01-06T00:00:00"/>
    <s v="F"/>
    <x v="2"/>
    <x v="4"/>
    <x v="0"/>
    <x v="3"/>
    <x v="3"/>
    <n v="2"/>
    <x v="2"/>
  </r>
  <r>
    <s v="TX500111"/>
    <x v="0"/>
    <x v="12"/>
    <n v="18.899999999999999"/>
    <n v="75.599999999999994"/>
    <x v="4"/>
    <d v="2025-01-07T00:00:00"/>
    <s v="M"/>
    <x v="0"/>
    <x v="2"/>
    <x v="0"/>
    <x v="3"/>
    <x v="1"/>
    <n v="2"/>
    <x v="1"/>
  </r>
  <r>
    <s v="TX500112"/>
    <x v="4"/>
    <x v="0"/>
    <n v="32"/>
    <n v="32"/>
    <x v="4"/>
    <d v="2025-01-07T00:00:00"/>
    <s v="F"/>
    <x v="4"/>
    <x v="0"/>
    <x v="0"/>
    <x v="3"/>
    <x v="1"/>
    <n v="2"/>
    <x v="2"/>
  </r>
  <r>
    <s v="TX500113"/>
    <x v="7"/>
    <x v="1"/>
    <n v="37.299999999999997"/>
    <n v="74.599999999999994"/>
    <x v="4"/>
    <d v="2025-01-06T00:00:00"/>
    <s v="M"/>
    <x v="2"/>
    <x v="0"/>
    <x v="0"/>
    <x v="3"/>
    <x v="3"/>
    <n v="2"/>
    <x v="1"/>
  </r>
  <r>
    <s v="TX500114"/>
    <x v="18"/>
    <x v="0"/>
    <n v="119.8"/>
    <n v="119.8"/>
    <x v="4"/>
    <d v="2025-01-06T00:00:00"/>
    <s v="M"/>
    <x v="1"/>
    <x v="1"/>
    <x v="0"/>
    <x v="3"/>
    <x v="3"/>
    <n v="2"/>
    <x v="1"/>
  </r>
  <r>
    <s v="TX500115"/>
    <x v="10"/>
    <x v="1"/>
    <n v="26.4"/>
    <n v="52.8"/>
    <x v="4"/>
    <d v="2025-01-08T00:00:00"/>
    <s v="M"/>
    <x v="2"/>
    <x v="0"/>
    <x v="0"/>
    <x v="3"/>
    <x v="2"/>
    <n v="2"/>
    <x v="1"/>
  </r>
  <r>
    <s v="TX500116"/>
    <x v="6"/>
    <x v="13"/>
    <n v="76.5"/>
    <n v="459"/>
    <x v="4"/>
    <d v="2025-01-06T00:00:00"/>
    <s v="F"/>
    <x v="1"/>
    <x v="1"/>
    <x v="0"/>
    <x v="3"/>
    <x v="3"/>
    <n v="2"/>
    <x v="2"/>
  </r>
  <r>
    <s v="TX500117"/>
    <x v="4"/>
    <x v="7"/>
    <n v="45.7"/>
    <n v="457"/>
    <x v="4"/>
    <d v="2025-01-06T00:00:00"/>
    <s v="F"/>
    <x v="2"/>
    <x v="0"/>
    <x v="0"/>
    <x v="24"/>
    <x v="3"/>
    <n v="2"/>
    <x v="2"/>
  </r>
  <r>
    <s v="TX500118"/>
    <x v="1"/>
    <x v="4"/>
    <n v="92.6"/>
    <n v="1111.1999999999998"/>
    <x v="4"/>
    <d v="2025-01-07T00:00:00"/>
    <s v="F"/>
    <x v="2"/>
    <x v="0"/>
    <x v="0"/>
    <x v="25"/>
    <x v="1"/>
    <n v="2"/>
    <x v="2"/>
  </r>
  <r>
    <s v="TX500119"/>
    <x v="6"/>
    <x v="13"/>
    <n v="60.1"/>
    <n v="360.6"/>
    <x v="4"/>
    <d v="2025-01-06T00:00:00"/>
    <s v="M"/>
    <x v="1"/>
    <x v="0"/>
    <x v="0"/>
    <x v="23"/>
    <x v="3"/>
    <n v="2"/>
    <x v="1"/>
  </r>
  <r>
    <s v="TX500120"/>
    <x v="1"/>
    <x v="2"/>
    <n v="73"/>
    <n v="219"/>
    <x v="4"/>
    <d v="2025-01-06T00:00:00"/>
    <s v="F"/>
    <x v="3"/>
    <x v="1"/>
    <x v="0"/>
    <x v="6"/>
    <x v="3"/>
    <n v="2"/>
    <x v="2"/>
  </r>
  <r>
    <s v="TX500121"/>
    <x v="6"/>
    <x v="2"/>
    <n v="44.3"/>
    <n v="132.89999999999998"/>
    <x v="4"/>
    <d v="2025-01-09T00:00:00"/>
    <s v=""/>
    <x v="2"/>
    <x v="2"/>
    <x v="0"/>
    <x v="6"/>
    <x v="5"/>
    <n v="2"/>
    <x v="0"/>
  </r>
  <r>
    <s v="TX500122"/>
    <x v="6"/>
    <x v="2"/>
    <n v="63.3"/>
    <n v="189.89999999999998"/>
    <x v="4"/>
    <d v="2025-01-06T00:00:00"/>
    <s v="M"/>
    <x v="2"/>
    <x v="0"/>
    <x v="0"/>
    <x v="6"/>
    <x v="3"/>
    <n v="2"/>
    <x v="1"/>
  </r>
  <r>
    <s v="TX500123"/>
    <x v="12"/>
    <x v="0"/>
    <n v="66.8"/>
    <n v="66.8"/>
    <x v="4"/>
    <d v="2025-01-06T00:00:00"/>
    <s v="F"/>
    <x v="1"/>
    <x v="0"/>
    <x v="0"/>
    <x v="6"/>
    <x v="3"/>
    <n v="2"/>
    <x v="2"/>
  </r>
  <r>
    <s v="TX500124"/>
    <x v="2"/>
    <x v="1"/>
    <n v="59.7"/>
    <n v="119.4"/>
    <x v="4"/>
    <d v="2025-01-06T00:00:00"/>
    <s v="F"/>
    <x v="0"/>
    <x v="0"/>
    <x v="0"/>
    <x v="7"/>
    <x v="3"/>
    <n v="2"/>
    <x v="2"/>
  </r>
  <r>
    <s v="TX500125"/>
    <x v="1"/>
    <x v="13"/>
    <n v="92"/>
    <n v="552"/>
    <x v="4"/>
    <d v="2025-01-07T00:00:00"/>
    <s v="M"/>
    <x v="0"/>
    <x v="4"/>
    <x v="0"/>
    <x v="7"/>
    <x v="1"/>
    <n v="2"/>
    <x v="1"/>
  </r>
  <r>
    <s v="TX500126"/>
    <x v="7"/>
    <x v="1"/>
    <n v="87.6"/>
    <n v="175.2"/>
    <x v="4"/>
    <d v="2025-01-07T00:00:00"/>
    <s v="M"/>
    <x v="1"/>
    <x v="1"/>
    <x v="0"/>
    <x v="8"/>
    <x v="1"/>
    <n v="2"/>
    <x v="1"/>
  </r>
  <r>
    <s v="TX500127"/>
    <x v="6"/>
    <x v="2"/>
    <n v="84.5"/>
    <n v="253.5"/>
    <x v="4"/>
    <d v="2025-01-06T00:00:00"/>
    <s v="F"/>
    <x v="1"/>
    <x v="1"/>
    <x v="0"/>
    <x v="8"/>
    <x v="3"/>
    <n v="2"/>
    <x v="2"/>
  </r>
  <r>
    <s v="TX500128"/>
    <x v="1"/>
    <x v="1"/>
    <n v="116.3"/>
    <n v="232.6"/>
    <x v="5"/>
    <d v="2025-01-08T00:00:00"/>
    <s v="M"/>
    <x v="2"/>
    <x v="2"/>
    <x v="0"/>
    <x v="8"/>
    <x v="1"/>
    <n v="2"/>
    <x v="1"/>
  </r>
  <r>
    <s v="TX500129"/>
    <x v="6"/>
    <x v="9"/>
    <n v="52.7"/>
    <n v="263.5"/>
    <x v="5"/>
    <d v="2025-01-10T00:00:00"/>
    <s v="M"/>
    <x v="0"/>
    <x v="0"/>
    <x v="0"/>
    <x v="8"/>
    <x v="5"/>
    <n v="2"/>
    <x v="1"/>
  </r>
  <r>
    <s v="TX500130"/>
    <x v="16"/>
    <x v="2"/>
    <n v="34.200000000000003"/>
    <n v="102.60000000000001"/>
    <x v="5"/>
    <d v="2025-01-07T00:00:00"/>
    <s v="M"/>
    <x v="0"/>
    <x v="2"/>
    <x v="0"/>
    <x v="26"/>
    <x v="3"/>
    <n v="2"/>
    <x v="1"/>
  </r>
  <r>
    <s v="TX500131"/>
    <x v="9"/>
    <x v="0"/>
    <n v="23.3"/>
    <n v="23.3"/>
    <x v="5"/>
    <d v="2025-01-15T00:00:00"/>
    <s v="O"/>
    <x v="2"/>
    <x v="2"/>
    <x v="0"/>
    <x v="9"/>
    <x v="8"/>
    <n v="2"/>
    <x v="3"/>
  </r>
  <r>
    <s v="TX500132"/>
    <x v="0"/>
    <x v="18"/>
    <n v="25.9"/>
    <n v="673.4"/>
    <x v="5"/>
    <d v="2025-01-09T00:00:00"/>
    <s v="F"/>
    <x v="4"/>
    <x v="1"/>
    <x v="0"/>
    <x v="9"/>
    <x v="2"/>
    <n v="2"/>
    <x v="2"/>
  </r>
  <r>
    <s v="TX500133"/>
    <x v="6"/>
    <x v="19"/>
    <n v="54.9"/>
    <n v="1592.1"/>
    <x v="5"/>
    <d v="2025-01-07T00:00:00"/>
    <s v="M"/>
    <x v="1"/>
    <x v="2"/>
    <x v="0"/>
    <x v="9"/>
    <x v="3"/>
    <n v="2"/>
    <x v="1"/>
  </r>
  <r>
    <s v="TX500134"/>
    <x v="5"/>
    <x v="2"/>
    <n v="75.8"/>
    <n v="227.39999999999998"/>
    <x v="5"/>
    <d v="2025-01-11T00:00:00"/>
    <s v="O"/>
    <x v="1"/>
    <x v="0"/>
    <x v="0"/>
    <x v="18"/>
    <x v="0"/>
    <n v="2"/>
    <x v="3"/>
  </r>
  <r>
    <s v="TX500135"/>
    <x v="1"/>
    <x v="11"/>
    <n v="44.9"/>
    <n v="404.09999999999997"/>
    <x v="5"/>
    <d v="2025-01-09T00:00:00"/>
    <s v="F"/>
    <x v="2"/>
    <x v="2"/>
    <x v="0"/>
    <x v="2"/>
    <x v="2"/>
    <n v="2"/>
    <x v="2"/>
  </r>
  <r>
    <s v="TX500136"/>
    <x v="11"/>
    <x v="1"/>
    <n v="48.8"/>
    <n v="97.6"/>
    <x v="5"/>
    <d v="2025-01-08T00:00:00"/>
    <s v="F"/>
    <x v="3"/>
    <x v="0"/>
    <x v="0"/>
    <x v="27"/>
    <x v="1"/>
    <n v="2"/>
    <x v="2"/>
  </r>
  <r>
    <s v="TX500137"/>
    <x v="15"/>
    <x v="0"/>
    <n v="20.3"/>
    <n v="20.3"/>
    <x v="5"/>
    <d v="2025-01-07T00:00:00"/>
    <s v="F"/>
    <x v="0"/>
    <x v="2"/>
    <x v="0"/>
    <x v="22"/>
    <x v="3"/>
    <n v="2"/>
    <x v="2"/>
  </r>
  <r>
    <s v="TX500138"/>
    <x v="5"/>
    <x v="3"/>
    <n v="36.4"/>
    <n v="254.79999999999998"/>
    <x v="5"/>
    <d v="2025-01-09T00:00:00"/>
    <s v="F"/>
    <x v="0"/>
    <x v="1"/>
    <x v="0"/>
    <x v="3"/>
    <x v="2"/>
    <n v="2"/>
    <x v="2"/>
  </r>
  <r>
    <s v="TX500139"/>
    <x v="0"/>
    <x v="0"/>
    <n v="19"/>
    <n v="19"/>
    <x v="5"/>
    <d v="2025-01-11T00:00:00"/>
    <s v="F"/>
    <x v="1"/>
    <x v="2"/>
    <x v="0"/>
    <x v="3"/>
    <x v="0"/>
    <n v="2"/>
    <x v="2"/>
  </r>
  <r>
    <s v="TX500140"/>
    <x v="8"/>
    <x v="0"/>
    <n v="17.8"/>
    <n v="17.8"/>
    <x v="5"/>
    <d v="2025-01-06T00:00:00"/>
    <s v="M"/>
    <x v="0"/>
    <x v="0"/>
    <x v="0"/>
    <x v="3"/>
    <x v="7"/>
    <n v="2"/>
    <x v="1"/>
  </r>
  <r>
    <s v="TX500141"/>
    <x v="2"/>
    <x v="13"/>
    <n v="139.6"/>
    <n v="837.59999999999991"/>
    <x v="5"/>
    <d v="2025-01-09T00:00:00"/>
    <s v="M"/>
    <x v="0"/>
    <x v="0"/>
    <x v="0"/>
    <x v="3"/>
    <x v="2"/>
    <n v="2"/>
    <x v="1"/>
  </r>
  <r>
    <s v="TX500142"/>
    <x v="9"/>
    <x v="0"/>
    <n v="31.7"/>
    <n v="31.7"/>
    <x v="5"/>
    <d v="2025-01-06T00:00:00"/>
    <s v=""/>
    <x v="0"/>
    <x v="0"/>
    <x v="0"/>
    <x v="3"/>
    <x v="7"/>
    <n v="2"/>
    <x v="0"/>
  </r>
  <r>
    <s v="TX500143"/>
    <x v="8"/>
    <x v="8"/>
    <n v="26.3"/>
    <n v="210.4"/>
    <x v="5"/>
    <d v="2025-01-09T00:00:00"/>
    <s v="F"/>
    <x v="4"/>
    <x v="4"/>
    <x v="0"/>
    <x v="3"/>
    <x v="2"/>
    <n v="2"/>
    <x v="2"/>
  </r>
  <r>
    <s v="TX500144"/>
    <x v="4"/>
    <x v="1"/>
    <n v="47.8"/>
    <n v="95.6"/>
    <x v="5"/>
    <d v="2025-01-07T00:00:00"/>
    <s v=""/>
    <x v="0"/>
    <x v="0"/>
    <x v="0"/>
    <x v="3"/>
    <x v="3"/>
    <n v="2"/>
    <x v="0"/>
  </r>
  <r>
    <s v="TX500145"/>
    <x v="9"/>
    <x v="2"/>
    <n v="69.400000000000006"/>
    <n v="208.20000000000002"/>
    <x v="5"/>
    <d v="2025-01-10T00:00:00"/>
    <s v="F"/>
    <x v="0"/>
    <x v="0"/>
    <x v="0"/>
    <x v="3"/>
    <x v="5"/>
    <n v="2"/>
    <x v="2"/>
  </r>
  <r>
    <s v="TX500146"/>
    <x v="18"/>
    <x v="4"/>
    <n v="25.8"/>
    <n v="309.60000000000002"/>
    <x v="5"/>
    <d v="2025-01-07T00:00:00"/>
    <s v="M"/>
    <x v="4"/>
    <x v="4"/>
    <x v="0"/>
    <x v="3"/>
    <x v="3"/>
    <n v="2"/>
    <x v="1"/>
  </r>
  <r>
    <s v="TX500147"/>
    <x v="0"/>
    <x v="12"/>
    <n v="26.4"/>
    <n v="105.6"/>
    <x v="5"/>
    <d v="2025-01-07T00:00:00"/>
    <s v="M"/>
    <x v="1"/>
    <x v="2"/>
    <x v="0"/>
    <x v="3"/>
    <x v="3"/>
    <n v="2"/>
    <x v="1"/>
  </r>
  <r>
    <s v="TX500148"/>
    <x v="8"/>
    <x v="12"/>
    <n v="15.7"/>
    <n v="62.8"/>
    <x v="5"/>
    <d v="2025-01-07T00:00:00"/>
    <s v="M"/>
    <x v="2"/>
    <x v="0"/>
    <x v="0"/>
    <x v="3"/>
    <x v="3"/>
    <n v="2"/>
    <x v="1"/>
  </r>
  <r>
    <s v="TX500149"/>
    <x v="8"/>
    <x v="0"/>
    <n v="39.700000000000003"/>
    <n v="39.700000000000003"/>
    <x v="5"/>
    <d v="2025-01-10T00:00:00"/>
    <s v="M"/>
    <x v="0"/>
    <x v="0"/>
    <x v="0"/>
    <x v="3"/>
    <x v="5"/>
    <n v="2"/>
    <x v="1"/>
  </r>
  <r>
    <s v="TX500150"/>
    <x v="10"/>
    <x v="12"/>
    <n v="31.1"/>
    <n v="124.4"/>
    <x v="5"/>
    <d v="2025-01-08T00:00:00"/>
    <s v="F"/>
    <x v="2"/>
    <x v="1"/>
    <x v="0"/>
    <x v="3"/>
    <x v="1"/>
    <n v="2"/>
    <x v="2"/>
  </r>
  <r>
    <s v="TX500151"/>
    <x v="13"/>
    <x v="20"/>
    <n v="23.4"/>
    <n v="351"/>
    <x v="5"/>
    <d v="2025-01-15T00:00:00"/>
    <s v="M"/>
    <x v="0"/>
    <x v="0"/>
    <x v="0"/>
    <x v="3"/>
    <x v="8"/>
    <n v="2"/>
    <x v="1"/>
  </r>
  <r>
    <s v="TX500152"/>
    <x v="1"/>
    <x v="12"/>
    <n v="57.1"/>
    <n v="228.4"/>
    <x v="6"/>
    <d v="2025-01-08T00:00:00"/>
    <s v="M"/>
    <x v="2"/>
    <x v="0"/>
    <x v="0"/>
    <x v="25"/>
    <x v="3"/>
    <n v="2"/>
    <x v="1"/>
  </r>
  <r>
    <s v="TX500153"/>
    <x v="2"/>
    <x v="9"/>
    <n v="89.9"/>
    <n v="449.5"/>
    <x v="6"/>
    <d v="2025-01-07T00:00:00"/>
    <s v="F"/>
    <x v="0"/>
    <x v="3"/>
    <x v="0"/>
    <x v="23"/>
    <x v="7"/>
    <n v="2"/>
    <x v="2"/>
  </r>
  <r>
    <s v="TX500154"/>
    <x v="10"/>
    <x v="3"/>
    <n v="48.1"/>
    <n v="336.7"/>
    <x v="6"/>
    <d v="2025-01-09T00:00:00"/>
    <s v="F"/>
    <x v="1"/>
    <x v="2"/>
    <x v="0"/>
    <x v="6"/>
    <x v="1"/>
    <n v="2"/>
    <x v="2"/>
  </r>
  <r>
    <s v="TX500155"/>
    <x v="8"/>
    <x v="1"/>
    <n v="29.3"/>
    <n v="58.6"/>
    <x v="6"/>
    <d v="2025-01-07T00:00:00"/>
    <s v="F"/>
    <x v="1"/>
    <x v="1"/>
    <x v="0"/>
    <x v="6"/>
    <x v="7"/>
    <n v="2"/>
    <x v="2"/>
  </r>
  <r>
    <s v="TX500156"/>
    <x v="8"/>
    <x v="12"/>
    <n v="28.8"/>
    <n v="115.2"/>
    <x v="6"/>
    <d v="2025-01-08T00:00:00"/>
    <s v="F"/>
    <x v="0"/>
    <x v="4"/>
    <x v="0"/>
    <x v="6"/>
    <x v="3"/>
    <n v="2"/>
    <x v="2"/>
  </r>
  <r>
    <s v="TX500157"/>
    <x v="10"/>
    <x v="9"/>
    <n v="40.5"/>
    <n v="202.5"/>
    <x v="6"/>
    <d v="2025-01-11T00:00:00"/>
    <s v="F"/>
    <x v="3"/>
    <x v="0"/>
    <x v="0"/>
    <x v="6"/>
    <x v="5"/>
    <n v="2"/>
    <x v="2"/>
  </r>
  <r>
    <s v="TX500158"/>
    <x v="18"/>
    <x v="21"/>
    <n v="65.099999999999994"/>
    <n v="911.39999999999986"/>
    <x v="6"/>
    <d v="2025-01-08T00:00:00"/>
    <s v="F"/>
    <x v="4"/>
    <x v="0"/>
    <x v="0"/>
    <x v="7"/>
    <x v="3"/>
    <n v="2"/>
    <x v="2"/>
  </r>
  <r>
    <s v="TX500159"/>
    <x v="8"/>
    <x v="12"/>
    <n v="40.299999999999997"/>
    <n v="161.19999999999999"/>
    <x v="6"/>
    <d v="2025-01-12T00:00:00"/>
    <s v="F"/>
    <x v="2"/>
    <x v="0"/>
    <x v="0"/>
    <x v="7"/>
    <x v="0"/>
    <n v="2"/>
    <x v="2"/>
  </r>
  <r>
    <s v="TX500160"/>
    <x v="6"/>
    <x v="9"/>
    <n v="51.8"/>
    <n v="259"/>
    <x v="6"/>
    <d v="2025-01-08T00:00:00"/>
    <s v="M"/>
    <x v="2"/>
    <x v="2"/>
    <x v="0"/>
    <x v="8"/>
    <x v="3"/>
    <n v="2"/>
    <x v="1"/>
  </r>
  <r>
    <s v="TX500161"/>
    <x v="6"/>
    <x v="2"/>
    <n v="61.3"/>
    <n v="183.89999999999998"/>
    <x v="6"/>
    <d v="2025-01-08T00:00:00"/>
    <s v="F"/>
    <x v="3"/>
    <x v="0"/>
    <x v="0"/>
    <x v="8"/>
    <x v="3"/>
    <n v="2"/>
    <x v="2"/>
  </r>
  <r>
    <s v="TX500162"/>
    <x v="2"/>
    <x v="12"/>
    <n v="122.5"/>
    <n v="490"/>
    <x v="6"/>
    <d v="2025-01-08T00:00:00"/>
    <s v="M"/>
    <x v="0"/>
    <x v="0"/>
    <x v="0"/>
    <x v="8"/>
    <x v="3"/>
    <n v="2"/>
    <x v="1"/>
  </r>
  <r>
    <s v="TX500163"/>
    <x v="0"/>
    <x v="11"/>
    <n v="12.5"/>
    <n v="112.5"/>
    <x v="6"/>
    <d v="2025-01-08T00:00:00"/>
    <s v=""/>
    <x v="1"/>
    <x v="2"/>
    <x v="0"/>
    <x v="8"/>
    <x v="3"/>
    <n v="2"/>
    <x v="0"/>
  </r>
  <r>
    <s v="TX500164"/>
    <x v="15"/>
    <x v="8"/>
    <n v="37.5"/>
    <n v="300"/>
    <x v="6"/>
    <d v="2025-01-08T00:00:00"/>
    <s v="F"/>
    <x v="0"/>
    <x v="0"/>
    <x v="0"/>
    <x v="9"/>
    <x v="3"/>
    <n v="2"/>
    <x v="2"/>
  </r>
  <r>
    <s v="TX500165"/>
    <x v="6"/>
    <x v="2"/>
    <n v="40"/>
    <n v="120"/>
    <x v="6"/>
    <d v="2025-01-10T00:00:00"/>
    <s v="M"/>
    <x v="0"/>
    <x v="4"/>
    <x v="0"/>
    <x v="11"/>
    <x v="2"/>
    <n v="2"/>
    <x v="1"/>
  </r>
  <r>
    <s v="TX500166"/>
    <x v="17"/>
    <x v="8"/>
    <n v="38.5"/>
    <n v="308"/>
    <x v="6"/>
    <d v="2025-01-12T00:00:00"/>
    <s v="F"/>
    <x v="2"/>
    <x v="1"/>
    <x v="0"/>
    <x v="11"/>
    <x v="0"/>
    <n v="2"/>
    <x v="2"/>
  </r>
  <r>
    <s v="TX500167"/>
    <x v="2"/>
    <x v="1"/>
    <n v="86.4"/>
    <n v="172.8"/>
    <x v="6"/>
    <d v="2025-01-09T00:00:00"/>
    <s v="F"/>
    <x v="0"/>
    <x v="0"/>
    <x v="0"/>
    <x v="18"/>
    <x v="1"/>
    <n v="2"/>
    <x v="2"/>
  </r>
  <r>
    <s v="TX500168"/>
    <x v="10"/>
    <x v="0"/>
    <n v="50.7"/>
    <n v="50.7"/>
    <x v="6"/>
    <d v="2025-01-11T00:00:00"/>
    <s v="F"/>
    <x v="1"/>
    <x v="0"/>
    <x v="0"/>
    <x v="18"/>
    <x v="5"/>
    <n v="2"/>
    <x v="2"/>
  </r>
  <r>
    <s v="TX500169"/>
    <x v="10"/>
    <x v="1"/>
    <n v="61"/>
    <n v="122"/>
    <x v="6"/>
    <d v="2025-01-18T00:00:00"/>
    <s v="F"/>
    <x v="4"/>
    <x v="1"/>
    <x v="0"/>
    <x v="18"/>
    <x v="11"/>
    <n v="2"/>
    <x v="2"/>
  </r>
  <r>
    <s v="TX500170"/>
    <x v="4"/>
    <x v="1"/>
    <n v="19.899999999999999"/>
    <n v="39.799999999999997"/>
    <x v="6"/>
    <d v="2025-01-10T00:00:00"/>
    <s v="F"/>
    <x v="1"/>
    <x v="0"/>
    <x v="0"/>
    <x v="28"/>
    <x v="2"/>
    <n v="2"/>
    <x v="2"/>
  </r>
  <r>
    <s v="TX500171"/>
    <x v="5"/>
    <x v="0"/>
    <n v="78.3"/>
    <n v="78.3"/>
    <x v="6"/>
    <d v="2025-01-07T00:00:00"/>
    <s v="F"/>
    <x v="0"/>
    <x v="2"/>
    <x v="0"/>
    <x v="1"/>
    <x v="7"/>
    <n v="2"/>
    <x v="2"/>
  </r>
  <r>
    <s v="TX500172"/>
    <x v="0"/>
    <x v="10"/>
    <n v="10.4"/>
    <n v="197.6"/>
    <x v="6"/>
    <d v="2025-01-09T00:00:00"/>
    <s v="M"/>
    <x v="0"/>
    <x v="2"/>
    <x v="0"/>
    <x v="2"/>
    <x v="1"/>
    <n v="2"/>
    <x v="1"/>
  </r>
  <r>
    <s v="TX500173"/>
    <x v="10"/>
    <x v="0"/>
    <n v="36.1"/>
    <n v="36.1"/>
    <x v="6"/>
    <d v="2025-01-10T00:00:00"/>
    <s v="M"/>
    <x v="3"/>
    <x v="2"/>
    <x v="0"/>
    <x v="3"/>
    <x v="2"/>
    <n v="2"/>
    <x v="1"/>
  </r>
  <r>
    <s v="TX500174"/>
    <x v="14"/>
    <x v="1"/>
    <n v="17.3"/>
    <n v="34.6"/>
    <x v="6"/>
    <d v="2025-01-09T00:00:00"/>
    <s v="F"/>
    <x v="1"/>
    <x v="2"/>
    <x v="0"/>
    <x v="3"/>
    <x v="1"/>
    <n v="2"/>
    <x v="2"/>
  </r>
  <r>
    <s v="TX500175"/>
    <x v="10"/>
    <x v="1"/>
    <n v="30.5"/>
    <n v="61"/>
    <x v="6"/>
    <d v="2025-01-08T00:00:00"/>
    <s v="F"/>
    <x v="1"/>
    <x v="2"/>
    <x v="0"/>
    <x v="3"/>
    <x v="3"/>
    <n v="2"/>
    <x v="2"/>
  </r>
  <r>
    <s v="TX500176"/>
    <x v="18"/>
    <x v="22"/>
    <n v="70.099999999999994"/>
    <n v="4346.2"/>
    <x v="6"/>
    <d v="2025-01-07T00:00:00"/>
    <s v="F"/>
    <x v="2"/>
    <x v="0"/>
    <x v="0"/>
    <x v="3"/>
    <x v="7"/>
    <n v="2"/>
    <x v="2"/>
  </r>
  <r>
    <s v="TX500177"/>
    <x v="3"/>
    <x v="0"/>
    <n v="76.099999999999994"/>
    <n v="76.099999999999994"/>
    <x v="6"/>
    <d v="2025-01-07T00:00:00"/>
    <s v="F"/>
    <x v="2"/>
    <x v="1"/>
    <x v="0"/>
    <x v="3"/>
    <x v="7"/>
    <n v="2"/>
    <x v="2"/>
  </r>
  <r>
    <s v="TX500178"/>
    <x v="15"/>
    <x v="15"/>
    <n v="34.200000000000003"/>
    <n v="444.6"/>
    <x v="6"/>
    <d v="2025-01-08T00:00:00"/>
    <s v="M"/>
    <x v="0"/>
    <x v="0"/>
    <x v="0"/>
    <x v="3"/>
    <x v="3"/>
    <n v="2"/>
    <x v="1"/>
  </r>
  <r>
    <s v="TX500179"/>
    <x v="8"/>
    <x v="9"/>
    <n v="30.3"/>
    <n v="151.5"/>
    <x v="6"/>
    <d v="2025-01-12T00:00:00"/>
    <s v="F"/>
    <x v="4"/>
    <x v="0"/>
    <x v="0"/>
    <x v="3"/>
    <x v="0"/>
    <n v="2"/>
    <x v="2"/>
  </r>
  <r>
    <s v="TX500180"/>
    <x v="6"/>
    <x v="9"/>
    <n v="52.5"/>
    <n v="262.5"/>
    <x v="6"/>
    <d v="2025-01-11T00:00:00"/>
    <s v=""/>
    <x v="3"/>
    <x v="0"/>
    <x v="0"/>
    <x v="3"/>
    <x v="5"/>
    <n v="2"/>
    <x v="0"/>
  </r>
  <r>
    <s v="TX500181"/>
    <x v="9"/>
    <x v="5"/>
    <n v="28.7"/>
    <n v="315.7"/>
    <x v="6"/>
    <d v="2025-01-08T00:00:00"/>
    <s v="F"/>
    <x v="2"/>
    <x v="0"/>
    <x v="0"/>
    <x v="3"/>
    <x v="3"/>
    <n v="2"/>
    <x v="2"/>
  </r>
  <r>
    <s v="TX500182"/>
    <x v="7"/>
    <x v="3"/>
    <n v="52"/>
    <n v="364"/>
    <x v="6"/>
    <d v="2025-01-08T00:00:00"/>
    <s v="M"/>
    <x v="1"/>
    <x v="4"/>
    <x v="0"/>
    <x v="3"/>
    <x v="3"/>
    <n v="2"/>
    <x v="1"/>
  </r>
  <r>
    <s v="TX500183"/>
    <x v="0"/>
    <x v="0"/>
    <n v="13.3"/>
    <n v="13.3"/>
    <x v="7"/>
    <d v="2025-01-12T00:00:00"/>
    <s v="F"/>
    <x v="2"/>
    <x v="1"/>
    <x v="0"/>
    <x v="3"/>
    <x v="5"/>
    <n v="2"/>
    <x v="2"/>
  </r>
  <r>
    <s v="TX500184"/>
    <x v="0"/>
    <x v="2"/>
    <n v="15.7"/>
    <n v="47.099999999999994"/>
    <x v="7"/>
    <d v="2025-01-09T00:00:00"/>
    <s v="F"/>
    <x v="1"/>
    <x v="0"/>
    <x v="0"/>
    <x v="29"/>
    <x v="3"/>
    <n v="2"/>
    <x v="2"/>
  </r>
  <r>
    <s v="TX500185"/>
    <x v="8"/>
    <x v="1"/>
    <n v="25.6"/>
    <n v="51.2"/>
    <x v="7"/>
    <d v="2025-01-09T00:00:00"/>
    <s v="M"/>
    <x v="0"/>
    <x v="2"/>
    <x v="0"/>
    <x v="23"/>
    <x v="3"/>
    <n v="2"/>
    <x v="1"/>
  </r>
  <r>
    <s v="TX500186"/>
    <x v="8"/>
    <x v="0"/>
    <n v="43.4"/>
    <n v="43.4"/>
    <x v="7"/>
    <d v="2025-01-13T00:00:00"/>
    <s v="M"/>
    <x v="0"/>
    <x v="0"/>
    <x v="0"/>
    <x v="6"/>
    <x v="0"/>
    <n v="2"/>
    <x v="1"/>
  </r>
  <r>
    <s v="TX500187"/>
    <x v="11"/>
    <x v="11"/>
    <n v="33.4"/>
    <n v="300.59999999999997"/>
    <x v="7"/>
    <d v="2025-01-08T00:00:00"/>
    <s v="F"/>
    <x v="0"/>
    <x v="0"/>
    <x v="0"/>
    <x v="8"/>
    <x v="7"/>
    <n v="2"/>
    <x v="2"/>
  </r>
  <r>
    <s v="TX500188"/>
    <x v="8"/>
    <x v="10"/>
    <n v="55"/>
    <n v="1045"/>
    <x v="7"/>
    <d v="2025-01-09T00:00:00"/>
    <s v="F"/>
    <x v="1"/>
    <x v="2"/>
    <x v="0"/>
    <x v="8"/>
    <x v="3"/>
    <n v="2"/>
    <x v="2"/>
  </r>
  <r>
    <s v="TX500189"/>
    <x v="8"/>
    <x v="2"/>
    <n v="23.6"/>
    <n v="70.800000000000011"/>
    <x v="7"/>
    <d v="2025-01-09T00:00:00"/>
    <s v="M"/>
    <x v="0"/>
    <x v="2"/>
    <x v="0"/>
    <x v="8"/>
    <x v="3"/>
    <n v="2"/>
    <x v="1"/>
  </r>
  <r>
    <s v="TX500190"/>
    <x v="12"/>
    <x v="11"/>
    <n v="104"/>
    <n v="936"/>
    <x v="7"/>
    <d v="2025-01-10T00:00:00"/>
    <s v="F"/>
    <x v="2"/>
    <x v="2"/>
    <x v="0"/>
    <x v="17"/>
    <x v="1"/>
    <n v="2"/>
    <x v="2"/>
  </r>
  <r>
    <s v="TX500191"/>
    <x v="6"/>
    <x v="1"/>
    <n v="51.8"/>
    <n v="103.6"/>
    <x v="7"/>
    <d v="2025-01-12T00:00:00"/>
    <s v=""/>
    <x v="0"/>
    <x v="2"/>
    <x v="0"/>
    <x v="10"/>
    <x v="5"/>
    <n v="2"/>
    <x v="0"/>
  </r>
  <r>
    <s v="TX500192"/>
    <x v="10"/>
    <x v="9"/>
    <n v="34.5"/>
    <n v="172.5"/>
    <x v="7"/>
    <d v="2025-01-10T00:00:00"/>
    <s v=""/>
    <x v="2"/>
    <x v="2"/>
    <x v="0"/>
    <x v="11"/>
    <x v="1"/>
    <n v="2"/>
    <x v="0"/>
  </r>
  <r>
    <s v="TX500193"/>
    <x v="6"/>
    <x v="1"/>
    <n v="51.8"/>
    <n v="103.6"/>
    <x v="7"/>
    <d v="2025-01-10T00:00:00"/>
    <s v="M"/>
    <x v="1"/>
    <x v="2"/>
    <x v="0"/>
    <x v="30"/>
    <x v="1"/>
    <n v="2"/>
    <x v="1"/>
  </r>
  <r>
    <s v="TX500194"/>
    <x v="18"/>
    <x v="23"/>
    <n v="131.5"/>
    <n v="5654.5"/>
    <x v="7"/>
    <d v="2025-01-09T00:00:00"/>
    <s v="F"/>
    <x v="0"/>
    <x v="2"/>
    <x v="0"/>
    <x v="18"/>
    <x v="3"/>
    <n v="2"/>
    <x v="2"/>
  </r>
  <r>
    <s v="TX500195"/>
    <x v="8"/>
    <x v="3"/>
    <n v="47.8"/>
    <n v="334.59999999999997"/>
    <x v="7"/>
    <d v="2025-01-08T00:00:00"/>
    <s v="F"/>
    <x v="0"/>
    <x v="0"/>
    <x v="0"/>
    <x v="19"/>
    <x v="7"/>
    <n v="2"/>
    <x v="2"/>
  </r>
  <r>
    <s v="TX500196"/>
    <x v="0"/>
    <x v="1"/>
    <n v="10.199999999999999"/>
    <n v="20.399999999999999"/>
    <x v="7"/>
    <d v="2025-01-10T00:00:00"/>
    <s v="F"/>
    <x v="0"/>
    <x v="0"/>
    <x v="0"/>
    <x v="19"/>
    <x v="1"/>
    <n v="2"/>
    <x v="2"/>
  </r>
  <r>
    <s v="TX500197"/>
    <x v="8"/>
    <x v="8"/>
    <n v="41"/>
    <n v="328"/>
    <x v="7"/>
    <d v="2025-01-08T00:00:00"/>
    <s v="F"/>
    <x v="1"/>
    <x v="2"/>
    <x v="0"/>
    <x v="19"/>
    <x v="7"/>
    <n v="2"/>
    <x v="2"/>
  </r>
  <r>
    <s v="TX500198"/>
    <x v="10"/>
    <x v="3"/>
    <n v="50.8"/>
    <n v="355.59999999999997"/>
    <x v="7"/>
    <d v="2025-01-11T00:00:00"/>
    <s v="F"/>
    <x v="1"/>
    <x v="0"/>
    <x v="0"/>
    <x v="21"/>
    <x v="2"/>
    <n v="2"/>
    <x v="2"/>
  </r>
  <r>
    <s v="TX500199"/>
    <x v="18"/>
    <x v="2"/>
    <n v="39.6"/>
    <n v="118.80000000000001"/>
    <x v="7"/>
    <d v="2025-01-09T00:00:00"/>
    <s v="M"/>
    <x v="2"/>
    <x v="2"/>
    <x v="0"/>
    <x v="1"/>
    <x v="3"/>
    <n v="2"/>
    <x v="1"/>
  </r>
  <r>
    <s v="TX500200"/>
    <x v="5"/>
    <x v="1"/>
    <n v="69.5"/>
    <n v="139"/>
    <x v="7"/>
    <d v="2025-01-10T00:00:00"/>
    <s v="M"/>
    <x v="0"/>
    <x v="2"/>
    <x v="0"/>
    <x v="2"/>
    <x v="1"/>
    <n v="2"/>
    <x v="1"/>
  </r>
  <r>
    <s v="TX500201"/>
    <x v="8"/>
    <x v="8"/>
    <n v="32.6"/>
    <n v="260.8"/>
    <x v="7"/>
    <d v="2025-01-11T00:00:00"/>
    <s v="M"/>
    <x v="1"/>
    <x v="0"/>
    <x v="0"/>
    <x v="3"/>
    <x v="2"/>
    <n v="2"/>
    <x v="1"/>
  </r>
  <r>
    <s v="TX500202"/>
    <x v="7"/>
    <x v="1"/>
    <n v="49.1"/>
    <n v="98.2"/>
    <x v="7"/>
    <d v="2025-01-16T00:00:00"/>
    <s v="M"/>
    <x v="3"/>
    <x v="2"/>
    <x v="0"/>
    <x v="3"/>
    <x v="9"/>
    <n v="2"/>
    <x v="1"/>
  </r>
  <r>
    <s v="TX500203"/>
    <x v="6"/>
    <x v="1"/>
    <n v="49.4"/>
    <n v="98.8"/>
    <x v="8"/>
    <d v="2025-01-10T00:00:00"/>
    <s v="F"/>
    <x v="2"/>
    <x v="0"/>
    <x v="0"/>
    <x v="3"/>
    <x v="3"/>
    <n v="2"/>
    <x v="2"/>
  </r>
  <r>
    <s v="TX500204"/>
    <x v="7"/>
    <x v="3"/>
    <n v="65.099999999999994"/>
    <n v="455.69999999999993"/>
    <x v="8"/>
    <d v="2025-01-12T00:00:00"/>
    <s v="F"/>
    <x v="2"/>
    <x v="2"/>
    <x v="0"/>
    <x v="3"/>
    <x v="2"/>
    <n v="2"/>
    <x v="2"/>
  </r>
  <r>
    <s v="TX500205"/>
    <x v="3"/>
    <x v="1"/>
    <n v="52.1"/>
    <n v="104.2"/>
    <x v="8"/>
    <d v="2025-01-13T00:00:00"/>
    <s v="F"/>
    <x v="2"/>
    <x v="0"/>
    <x v="0"/>
    <x v="3"/>
    <x v="5"/>
    <n v="2"/>
    <x v="2"/>
  </r>
  <r>
    <s v="TX500206"/>
    <x v="2"/>
    <x v="12"/>
    <n v="129.19999999999999"/>
    <n v="516.79999999999995"/>
    <x v="8"/>
    <d v="2025-01-10T00:00:00"/>
    <s v="F"/>
    <x v="1"/>
    <x v="0"/>
    <x v="0"/>
    <x v="3"/>
    <x v="3"/>
    <n v="2"/>
    <x v="2"/>
  </r>
  <r>
    <s v="TX500207"/>
    <x v="1"/>
    <x v="10"/>
    <n v="81.8"/>
    <n v="1554.2"/>
    <x v="8"/>
    <d v="2025-01-09T00:00:00"/>
    <s v="F"/>
    <x v="1"/>
    <x v="1"/>
    <x v="0"/>
    <x v="3"/>
    <x v="7"/>
    <n v="2"/>
    <x v="2"/>
  </r>
  <r>
    <s v="TX500208"/>
    <x v="17"/>
    <x v="0"/>
    <n v="24.9"/>
    <n v="24.9"/>
    <x v="8"/>
    <d v="2025-01-13T00:00:00"/>
    <s v="F"/>
    <x v="1"/>
    <x v="0"/>
    <x v="0"/>
    <x v="3"/>
    <x v="5"/>
    <n v="2"/>
    <x v="2"/>
  </r>
  <r>
    <s v="TX500209"/>
    <x v="0"/>
    <x v="2"/>
    <n v="49.4"/>
    <n v="148.19999999999999"/>
    <x v="8"/>
    <d v="2025-01-12T00:00:00"/>
    <s v="F"/>
    <x v="4"/>
    <x v="4"/>
    <x v="0"/>
    <x v="3"/>
    <x v="2"/>
    <n v="2"/>
    <x v="2"/>
  </r>
  <r>
    <s v="TX500210"/>
    <x v="8"/>
    <x v="1"/>
    <n v="22.7"/>
    <n v="45.4"/>
    <x v="8"/>
    <d v="2025-01-10T00:00:00"/>
    <s v="M"/>
    <x v="3"/>
    <x v="2"/>
    <x v="0"/>
    <x v="3"/>
    <x v="3"/>
    <n v="2"/>
    <x v="1"/>
  </r>
  <r>
    <s v="TX500211"/>
    <x v="1"/>
    <x v="0"/>
    <n v="77.3"/>
    <n v="77.3"/>
    <x v="8"/>
    <d v="2025-01-09T00:00:00"/>
    <s v="F"/>
    <x v="0"/>
    <x v="2"/>
    <x v="0"/>
    <x v="6"/>
    <x v="7"/>
    <n v="2"/>
    <x v="2"/>
  </r>
  <r>
    <s v="TX500212"/>
    <x v="1"/>
    <x v="9"/>
    <n v="109.1"/>
    <n v="545.5"/>
    <x v="8"/>
    <d v="2025-01-12T00:00:00"/>
    <s v="F"/>
    <x v="0"/>
    <x v="0"/>
    <x v="0"/>
    <x v="6"/>
    <x v="2"/>
    <n v="2"/>
    <x v="2"/>
  </r>
  <r>
    <s v="TX500213"/>
    <x v="2"/>
    <x v="12"/>
    <n v="53.9"/>
    <n v="215.6"/>
    <x v="8"/>
    <d v="2025-01-10T00:00:00"/>
    <s v="M"/>
    <x v="0"/>
    <x v="1"/>
    <x v="0"/>
    <x v="8"/>
    <x v="3"/>
    <n v="2"/>
    <x v="1"/>
  </r>
  <r>
    <s v="TX500214"/>
    <x v="9"/>
    <x v="18"/>
    <n v="21.2"/>
    <n v="551.19999999999993"/>
    <x v="8"/>
    <d v="2025-01-09T00:00:00"/>
    <s v="F"/>
    <x v="0"/>
    <x v="0"/>
    <x v="0"/>
    <x v="9"/>
    <x v="7"/>
    <n v="2"/>
    <x v="2"/>
  </r>
  <r>
    <s v="TX500215"/>
    <x v="16"/>
    <x v="12"/>
    <n v="69"/>
    <n v="276"/>
    <x v="8"/>
    <d v="2025-01-11T00:00:00"/>
    <s v="F"/>
    <x v="1"/>
    <x v="1"/>
    <x v="0"/>
    <x v="18"/>
    <x v="1"/>
    <n v="2"/>
    <x v="2"/>
  </r>
  <r>
    <s v="TX500216"/>
    <x v="6"/>
    <x v="2"/>
    <n v="46.2"/>
    <n v="138.60000000000002"/>
    <x v="8"/>
    <d v="2025-01-11T00:00:00"/>
    <s v="F"/>
    <x v="0"/>
    <x v="2"/>
    <x v="0"/>
    <x v="31"/>
    <x v="1"/>
    <n v="2"/>
    <x v="2"/>
  </r>
  <r>
    <s v="TX500217"/>
    <x v="1"/>
    <x v="9"/>
    <n v="97.4"/>
    <n v="487"/>
    <x v="8"/>
    <d v="2025-01-13T00:00:00"/>
    <s v="F"/>
    <x v="4"/>
    <x v="2"/>
    <x v="0"/>
    <x v="21"/>
    <x v="5"/>
    <n v="2"/>
    <x v="2"/>
  </r>
  <r>
    <s v="TX500218"/>
    <x v="8"/>
    <x v="9"/>
    <n v="21"/>
    <n v="105"/>
    <x v="8"/>
    <d v="2025-01-10T00:00:00"/>
    <s v="M"/>
    <x v="0"/>
    <x v="1"/>
    <x v="0"/>
    <x v="21"/>
    <x v="3"/>
    <n v="2"/>
    <x v="1"/>
  </r>
  <r>
    <s v="TX500219"/>
    <x v="5"/>
    <x v="1"/>
    <n v="32.700000000000003"/>
    <n v="65.400000000000006"/>
    <x v="9"/>
    <d v="2025-01-13T00:00:00"/>
    <s v="F"/>
    <x v="1"/>
    <x v="0"/>
    <x v="0"/>
    <x v="2"/>
    <x v="2"/>
    <n v="2"/>
    <x v="2"/>
  </r>
  <r>
    <s v="TX500220"/>
    <x v="6"/>
    <x v="12"/>
    <n v="48"/>
    <n v="192"/>
    <x v="9"/>
    <d v="2025-01-11T00:00:00"/>
    <s v="M"/>
    <x v="3"/>
    <x v="0"/>
    <x v="0"/>
    <x v="3"/>
    <x v="3"/>
    <n v="2"/>
    <x v="1"/>
  </r>
  <r>
    <s v="TX500221"/>
    <x v="6"/>
    <x v="2"/>
    <n v="68.2"/>
    <n v="204.60000000000002"/>
    <x v="9"/>
    <d v="2025-01-14T00:00:00"/>
    <s v=""/>
    <x v="0"/>
    <x v="2"/>
    <x v="0"/>
    <x v="3"/>
    <x v="5"/>
    <n v="2"/>
    <x v="0"/>
  </r>
  <r>
    <s v="TX500222"/>
    <x v="5"/>
    <x v="0"/>
    <n v="45.4"/>
    <n v="45.4"/>
    <x v="9"/>
    <d v="2025-01-12T00:00:00"/>
    <s v="M"/>
    <x v="1"/>
    <x v="0"/>
    <x v="0"/>
    <x v="3"/>
    <x v="1"/>
    <n v="2"/>
    <x v="1"/>
  </r>
  <r>
    <s v="TX500223"/>
    <x v="12"/>
    <x v="1"/>
    <n v="53.9"/>
    <n v="107.8"/>
    <x v="9"/>
    <d v="2025-01-11T00:00:00"/>
    <s v="F"/>
    <x v="2"/>
    <x v="0"/>
    <x v="0"/>
    <x v="3"/>
    <x v="3"/>
    <n v="2"/>
    <x v="2"/>
  </r>
  <r>
    <s v="TX500224"/>
    <x v="2"/>
    <x v="12"/>
    <n v="62.1"/>
    <n v="248.4"/>
    <x v="9"/>
    <d v="2025-01-14T00:00:00"/>
    <s v="F"/>
    <x v="0"/>
    <x v="0"/>
    <x v="0"/>
    <x v="4"/>
    <x v="5"/>
    <n v="2"/>
    <x v="2"/>
  </r>
  <r>
    <s v="TX500225"/>
    <x v="13"/>
    <x v="3"/>
    <n v="33.1"/>
    <n v="231.70000000000002"/>
    <x v="9"/>
    <d v="2025-01-15T00:00:00"/>
    <s v="M"/>
    <x v="1"/>
    <x v="0"/>
    <x v="0"/>
    <x v="6"/>
    <x v="0"/>
    <n v="2"/>
    <x v="1"/>
  </r>
  <r>
    <s v="TX500226"/>
    <x v="18"/>
    <x v="9"/>
    <n v="35.200000000000003"/>
    <n v="176"/>
    <x v="9"/>
    <d v="2025-01-10T00:00:00"/>
    <s v="F"/>
    <x v="1"/>
    <x v="0"/>
    <x v="0"/>
    <x v="6"/>
    <x v="7"/>
    <n v="2"/>
    <x v="2"/>
  </r>
  <r>
    <s v="TX500227"/>
    <x v="9"/>
    <x v="2"/>
    <n v="32.1"/>
    <n v="96.300000000000011"/>
    <x v="9"/>
    <d v="2025-01-15T00:00:00"/>
    <s v="M"/>
    <x v="3"/>
    <x v="0"/>
    <x v="0"/>
    <x v="8"/>
    <x v="0"/>
    <n v="2"/>
    <x v="1"/>
  </r>
  <r>
    <s v="TX500228"/>
    <x v="11"/>
    <x v="0"/>
    <n v="38.1"/>
    <n v="38.1"/>
    <x v="9"/>
    <d v="2025-01-15T00:00:00"/>
    <s v="F"/>
    <x v="0"/>
    <x v="2"/>
    <x v="0"/>
    <x v="8"/>
    <x v="0"/>
    <n v="2"/>
    <x v="2"/>
  </r>
  <r>
    <s v="TX500229"/>
    <x v="8"/>
    <x v="0"/>
    <n v="65.2"/>
    <n v="65.2"/>
    <x v="9"/>
    <d v="2025-01-15T00:00:00"/>
    <s v="F"/>
    <x v="3"/>
    <x v="1"/>
    <x v="0"/>
    <x v="8"/>
    <x v="0"/>
    <n v="2"/>
    <x v="2"/>
  </r>
  <r>
    <s v="TX500230"/>
    <x v="10"/>
    <x v="3"/>
    <n v="55.2"/>
    <n v="386.40000000000003"/>
    <x v="9"/>
    <d v="2025-01-11T00:00:00"/>
    <s v="M"/>
    <x v="2"/>
    <x v="0"/>
    <x v="0"/>
    <x v="11"/>
    <x v="3"/>
    <n v="2"/>
    <x v="1"/>
  </r>
  <r>
    <s v="TX500231"/>
    <x v="6"/>
    <x v="0"/>
    <n v="62"/>
    <n v="62"/>
    <x v="9"/>
    <d v="2025-01-14T00:00:00"/>
    <s v="F"/>
    <x v="0"/>
    <x v="0"/>
    <x v="0"/>
    <x v="11"/>
    <x v="5"/>
    <n v="2"/>
    <x v="2"/>
  </r>
  <r>
    <s v="TX500232"/>
    <x v="7"/>
    <x v="2"/>
    <n v="45.9"/>
    <n v="137.69999999999999"/>
    <x v="9"/>
    <d v="2025-01-11T00:00:00"/>
    <s v="F"/>
    <x v="2"/>
    <x v="0"/>
    <x v="0"/>
    <x v="32"/>
    <x v="3"/>
    <n v="2"/>
    <x v="2"/>
  </r>
  <r>
    <s v="TX500233"/>
    <x v="18"/>
    <x v="2"/>
    <n v="58.3"/>
    <n v="174.89999999999998"/>
    <x v="9"/>
    <d v="2025-01-10T00:00:00"/>
    <s v="M"/>
    <x v="1"/>
    <x v="1"/>
    <x v="0"/>
    <x v="18"/>
    <x v="7"/>
    <n v="2"/>
    <x v="1"/>
  </r>
  <r>
    <s v="TX500234"/>
    <x v="8"/>
    <x v="1"/>
    <n v="22.3"/>
    <n v="44.6"/>
    <x v="9"/>
    <d v="2025-01-13T00:00:00"/>
    <s v="F"/>
    <x v="0"/>
    <x v="2"/>
    <x v="0"/>
    <x v="20"/>
    <x v="2"/>
    <n v="2"/>
    <x v="2"/>
  </r>
  <r>
    <s v="TX500235"/>
    <x v="19"/>
    <x v="9"/>
    <n v="24"/>
    <n v="120"/>
    <x v="9"/>
    <d v="2025-01-11T00:00:00"/>
    <s v="M"/>
    <x v="4"/>
    <x v="0"/>
    <x v="0"/>
    <x v="1"/>
    <x v="3"/>
    <n v="2"/>
    <x v="1"/>
  </r>
  <r>
    <s v="TX500236"/>
    <x v="0"/>
    <x v="7"/>
    <n v="21.3"/>
    <n v="213"/>
    <x v="9"/>
    <d v="2025-01-10T00:00:00"/>
    <s v="F"/>
    <x v="1"/>
    <x v="2"/>
    <x v="0"/>
    <x v="22"/>
    <x v="7"/>
    <n v="2"/>
    <x v="2"/>
  </r>
  <r>
    <s v="TX500237"/>
    <x v="6"/>
    <x v="24"/>
    <n v="57.8"/>
    <n v="2369.7999999999997"/>
    <x v="9"/>
    <d v="2025-01-12T00:00:00"/>
    <s v="F"/>
    <x v="0"/>
    <x v="2"/>
    <x v="0"/>
    <x v="3"/>
    <x v="1"/>
    <n v="2"/>
    <x v="2"/>
  </r>
  <r>
    <s v="TX500238"/>
    <x v="10"/>
    <x v="2"/>
    <n v="67.599999999999994"/>
    <n v="202.79999999999998"/>
    <x v="9"/>
    <d v="2025-01-11T00:00:00"/>
    <s v="F"/>
    <x v="0"/>
    <x v="0"/>
    <x v="0"/>
    <x v="3"/>
    <x v="3"/>
    <n v="2"/>
    <x v="2"/>
  </r>
  <r>
    <s v="TX500239"/>
    <x v="6"/>
    <x v="13"/>
    <n v="66.7"/>
    <n v="400.20000000000005"/>
    <x v="9"/>
    <d v="2025-01-14T00:00:00"/>
    <s v="M"/>
    <x v="4"/>
    <x v="1"/>
    <x v="0"/>
    <x v="3"/>
    <x v="5"/>
    <n v="2"/>
    <x v="1"/>
  </r>
  <r>
    <s v="TX500240"/>
    <x v="1"/>
    <x v="12"/>
    <n v="53.1"/>
    <n v="212.4"/>
    <x v="9"/>
    <d v="2025-01-12T00:00:00"/>
    <s v="F"/>
    <x v="1"/>
    <x v="0"/>
    <x v="0"/>
    <x v="3"/>
    <x v="1"/>
    <n v="2"/>
    <x v="2"/>
  </r>
  <r>
    <s v="TX500241"/>
    <x v="12"/>
    <x v="2"/>
    <n v="57.4"/>
    <n v="172.2"/>
    <x v="9"/>
    <d v="2025-01-13T00:00:00"/>
    <s v="F"/>
    <x v="0"/>
    <x v="2"/>
    <x v="0"/>
    <x v="29"/>
    <x v="2"/>
    <n v="2"/>
    <x v="2"/>
  </r>
  <r>
    <s v="TX500242"/>
    <x v="2"/>
    <x v="9"/>
    <n v="58.1"/>
    <n v="290.5"/>
    <x v="9"/>
    <d v="2025-01-10T00:00:00"/>
    <s v="M"/>
    <x v="2"/>
    <x v="2"/>
    <x v="0"/>
    <x v="6"/>
    <x v="7"/>
    <n v="2"/>
    <x v="1"/>
  </r>
  <r>
    <s v="TX500243"/>
    <x v="5"/>
    <x v="2"/>
    <n v="31.8"/>
    <n v="95.4"/>
    <x v="10"/>
    <d v="2025-01-13T00:00:00"/>
    <s v="M"/>
    <x v="3"/>
    <x v="0"/>
    <x v="0"/>
    <x v="6"/>
    <x v="1"/>
    <n v="2"/>
    <x v="1"/>
  </r>
  <r>
    <s v="TX500244"/>
    <x v="4"/>
    <x v="2"/>
    <n v="31.5"/>
    <n v="94.5"/>
    <x v="10"/>
    <d v="2025-01-14T00:00:00"/>
    <s v="M"/>
    <x v="0"/>
    <x v="1"/>
    <x v="0"/>
    <x v="8"/>
    <x v="2"/>
    <n v="2"/>
    <x v="1"/>
  </r>
  <r>
    <s v="TX500245"/>
    <x v="6"/>
    <x v="3"/>
    <n v="55.9"/>
    <n v="391.3"/>
    <x v="10"/>
    <d v="2025-01-15T00:00:00"/>
    <s v="F"/>
    <x v="1"/>
    <x v="2"/>
    <x v="0"/>
    <x v="8"/>
    <x v="5"/>
    <n v="2"/>
    <x v="2"/>
  </r>
  <r>
    <s v="TX500246"/>
    <x v="8"/>
    <x v="1"/>
    <n v="36.4"/>
    <n v="72.8"/>
    <x v="10"/>
    <d v="2025-01-12T00:00:00"/>
    <s v="M"/>
    <x v="1"/>
    <x v="1"/>
    <x v="0"/>
    <x v="9"/>
    <x v="3"/>
    <n v="2"/>
    <x v="1"/>
  </r>
  <r>
    <s v="TX500247"/>
    <x v="1"/>
    <x v="9"/>
    <n v="47.3"/>
    <n v="236.5"/>
    <x v="10"/>
    <d v="2025-01-14T00:00:00"/>
    <s v="M"/>
    <x v="2"/>
    <x v="0"/>
    <x v="0"/>
    <x v="10"/>
    <x v="2"/>
    <n v="2"/>
    <x v="1"/>
  </r>
  <r>
    <s v="TX500248"/>
    <x v="6"/>
    <x v="2"/>
    <n v="82.5"/>
    <n v="247.5"/>
    <x v="10"/>
    <d v="2025-01-12T00:00:00"/>
    <s v="M"/>
    <x v="0"/>
    <x v="0"/>
    <x v="0"/>
    <x v="11"/>
    <x v="3"/>
    <n v="2"/>
    <x v="1"/>
  </r>
  <r>
    <s v="TX500249"/>
    <x v="0"/>
    <x v="0"/>
    <n v="14.3"/>
    <n v="14.3"/>
    <x v="10"/>
    <d v="2025-01-12T00:00:00"/>
    <s v="F"/>
    <x v="0"/>
    <x v="0"/>
    <x v="0"/>
    <x v="21"/>
    <x v="3"/>
    <n v="2"/>
    <x v="2"/>
  </r>
  <r>
    <s v="TX500250"/>
    <x v="2"/>
    <x v="13"/>
    <n v="57.6"/>
    <n v="345.6"/>
    <x v="10"/>
    <d v="2025-01-25T00:00:00"/>
    <s v="F"/>
    <x v="0"/>
    <x v="0"/>
    <x v="0"/>
    <x v="21"/>
    <x v="12"/>
    <n v="2"/>
    <x v="2"/>
  </r>
  <r>
    <s v="TX500251"/>
    <x v="2"/>
    <x v="2"/>
    <n v="142.4"/>
    <n v="427.20000000000005"/>
    <x v="10"/>
    <d v="2025-01-13T00:00:00"/>
    <s v="M"/>
    <x v="4"/>
    <x v="1"/>
    <x v="0"/>
    <x v="21"/>
    <x v="1"/>
    <n v="2"/>
    <x v="1"/>
  </r>
  <r>
    <s v="TX500252"/>
    <x v="12"/>
    <x v="0"/>
    <n v="30.2"/>
    <n v="30.2"/>
    <x v="10"/>
    <d v="2025-01-15T00:00:00"/>
    <s v="M"/>
    <x v="1"/>
    <x v="2"/>
    <x v="0"/>
    <x v="2"/>
    <x v="5"/>
    <n v="2"/>
    <x v="1"/>
  </r>
  <r>
    <s v="TX500253"/>
    <x v="18"/>
    <x v="2"/>
    <n v="65.3"/>
    <n v="195.89999999999998"/>
    <x v="10"/>
    <d v="2025-01-12T00:00:00"/>
    <s v="O"/>
    <x v="1"/>
    <x v="0"/>
    <x v="0"/>
    <x v="33"/>
    <x v="3"/>
    <n v="2"/>
    <x v="3"/>
  </r>
  <r>
    <s v="TX500254"/>
    <x v="0"/>
    <x v="1"/>
    <n v="33.4"/>
    <n v="66.8"/>
    <x v="10"/>
    <d v="2025-01-12T00:00:00"/>
    <s v="M"/>
    <x v="1"/>
    <x v="1"/>
    <x v="0"/>
    <x v="22"/>
    <x v="3"/>
    <n v="2"/>
    <x v="1"/>
  </r>
  <r>
    <s v="TX500255"/>
    <x v="7"/>
    <x v="1"/>
    <n v="45.1"/>
    <n v="90.2"/>
    <x v="10"/>
    <d v="2025-01-19T00:00:00"/>
    <s v="M"/>
    <x v="0"/>
    <x v="0"/>
    <x v="0"/>
    <x v="34"/>
    <x v="9"/>
    <n v="2"/>
    <x v="1"/>
  </r>
  <r>
    <s v="TX500256"/>
    <x v="2"/>
    <x v="3"/>
    <n v="61.7"/>
    <n v="431.90000000000003"/>
    <x v="10"/>
    <d v="2025-01-13T00:00:00"/>
    <s v="F"/>
    <x v="4"/>
    <x v="0"/>
    <x v="0"/>
    <x v="3"/>
    <x v="1"/>
    <n v="2"/>
    <x v="2"/>
  </r>
  <r>
    <s v="TX500257"/>
    <x v="9"/>
    <x v="2"/>
    <n v="45.1"/>
    <n v="135.30000000000001"/>
    <x v="11"/>
    <d v="2025-01-13T00:00:00"/>
    <s v="M"/>
    <x v="4"/>
    <x v="1"/>
    <x v="0"/>
    <x v="3"/>
    <x v="3"/>
    <n v="3"/>
    <x v="1"/>
  </r>
  <r>
    <s v="TX500258"/>
    <x v="15"/>
    <x v="9"/>
    <n v="22.7"/>
    <n v="113.5"/>
    <x v="11"/>
    <d v="2025-01-17T00:00:00"/>
    <s v="M"/>
    <x v="0"/>
    <x v="2"/>
    <x v="0"/>
    <x v="35"/>
    <x v="0"/>
    <n v="3"/>
    <x v="1"/>
  </r>
  <r>
    <s v="TX500259"/>
    <x v="8"/>
    <x v="0"/>
    <n v="17.600000000000001"/>
    <n v="17.600000000000001"/>
    <x v="11"/>
    <d v="2025-01-13T00:00:00"/>
    <s v="F"/>
    <x v="0"/>
    <x v="2"/>
    <x v="0"/>
    <x v="23"/>
    <x v="3"/>
    <n v="3"/>
    <x v="2"/>
  </r>
  <r>
    <s v="TX500260"/>
    <x v="14"/>
    <x v="1"/>
    <n v="11.3"/>
    <n v="22.6"/>
    <x v="11"/>
    <d v="2025-01-15T00:00:00"/>
    <s v="F"/>
    <x v="3"/>
    <x v="2"/>
    <x v="0"/>
    <x v="23"/>
    <x v="2"/>
    <n v="3"/>
    <x v="2"/>
  </r>
  <r>
    <s v="TX500261"/>
    <x v="6"/>
    <x v="2"/>
    <n v="53.4"/>
    <n v="160.19999999999999"/>
    <x v="11"/>
    <d v="2025-01-15T00:00:00"/>
    <s v="M"/>
    <x v="3"/>
    <x v="2"/>
    <x v="0"/>
    <x v="36"/>
    <x v="2"/>
    <n v="3"/>
    <x v="1"/>
  </r>
  <r>
    <s v="TX500262"/>
    <x v="6"/>
    <x v="5"/>
    <n v="51.1"/>
    <n v="562.1"/>
    <x v="11"/>
    <d v="2025-01-14T00:00:00"/>
    <s v="F"/>
    <x v="2"/>
    <x v="2"/>
    <x v="0"/>
    <x v="8"/>
    <x v="1"/>
    <n v="3"/>
    <x v="2"/>
  </r>
  <r>
    <s v="TX500263"/>
    <x v="8"/>
    <x v="1"/>
    <n v="27.5"/>
    <n v="55"/>
    <x v="11"/>
    <d v="2025-01-13T00:00:00"/>
    <s v="M"/>
    <x v="4"/>
    <x v="1"/>
    <x v="0"/>
    <x v="8"/>
    <x v="3"/>
    <n v="3"/>
    <x v="1"/>
  </r>
  <r>
    <s v="TX500264"/>
    <x v="9"/>
    <x v="0"/>
    <n v="33.5"/>
    <n v="33.5"/>
    <x v="11"/>
    <d v="2025-01-14T00:00:00"/>
    <s v="F"/>
    <x v="0"/>
    <x v="4"/>
    <x v="0"/>
    <x v="8"/>
    <x v="1"/>
    <n v="3"/>
    <x v="2"/>
  </r>
  <r>
    <s v="TX500265"/>
    <x v="4"/>
    <x v="0"/>
    <n v="59.5"/>
    <n v="59.5"/>
    <x v="11"/>
    <d v="2025-01-12T00:00:00"/>
    <s v="M"/>
    <x v="0"/>
    <x v="2"/>
    <x v="0"/>
    <x v="18"/>
    <x v="7"/>
    <n v="3"/>
    <x v="1"/>
  </r>
  <r>
    <s v="TX500266"/>
    <x v="17"/>
    <x v="12"/>
    <n v="23.5"/>
    <n v="94"/>
    <x v="11"/>
    <d v="2025-01-13T00:00:00"/>
    <s v="F"/>
    <x v="3"/>
    <x v="3"/>
    <x v="0"/>
    <x v="19"/>
    <x v="3"/>
    <n v="3"/>
    <x v="2"/>
  </r>
  <r>
    <s v="TX500267"/>
    <x v="6"/>
    <x v="0"/>
    <n v="49.7"/>
    <n v="49.7"/>
    <x v="11"/>
    <d v="2025-01-13T00:00:00"/>
    <s v=""/>
    <x v="1"/>
    <x v="2"/>
    <x v="0"/>
    <x v="20"/>
    <x v="3"/>
    <n v="3"/>
    <x v="0"/>
  </r>
  <r>
    <s v="TX500268"/>
    <x v="6"/>
    <x v="12"/>
    <n v="44.2"/>
    <n v="176.8"/>
    <x v="11"/>
    <d v="2025-01-15T00:00:00"/>
    <s v="F"/>
    <x v="0"/>
    <x v="2"/>
    <x v="0"/>
    <x v="21"/>
    <x v="2"/>
    <n v="3"/>
    <x v="2"/>
  </r>
  <r>
    <s v="TX500269"/>
    <x v="8"/>
    <x v="0"/>
    <n v="22.1"/>
    <n v="22.1"/>
    <x v="11"/>
    <d v="2025-01-16T00:00:00"/>
    <s v="F"/>
    <x v="1"/>
    <x v="1"/>
    <x v="0"/>
    <x v="33"/>
    <x v="5"/>
    <n v="3"/>
    <x v="2"/>
  </r>
  <r>
    <s v="TX500270"/>
    <x v="6"/>
    <x v="2"/>
    <n v="90.9"/>
    <n v="272.70000000000005"/>
    <x v="11"/>
    <d v="2025-01-13T00:00:00"/>
    <s v="F"/>
    <x v="2"/>
    <x v="4"/>
    <x v="0"/>
    <x v="3"/>
    <x v="3"/>
    <n v="3"/>
    <x v="2"/>
  </r>
  <r>
    <s v="TX500271"/>
    <x v="8"/>
    <x v="2"/>
    <n v="44.5"/>
    <n v="133.5"/>
    <x v="11"/>
    <d v="2025-01-13T00:00:00"/>
    <s v="F"/>
    <x v="1"/>
    <x v="0"/>
    <x v="0"/>
    <x v="3"/>
    <x v="3"/>
    <n v="3"/>
    <x v="2"/>
  </r>
  <r>
    <s v="TX500272"/>
    <x v="9"/>
    <x v="13"/>
    <n v="32.299999999999997"/>
    <n v="193.79999999999998"/>
    <x v="11"/>
    <d v="2025-01-16T00:00:00"/>
    <s v="F"/>
    <x v="0"/>
    <x v="0"/>
    <x v="0"/>
    <x v="3"/>
    <x v="5"/>
    <n v="3"/>
    <x v="2"/>
  </r>
  <r>
    <s v="TX500273"/>
    <x v="17"/>
    <x v="2"/>
    <n v="87.5"/>
    <n v="262.5"/>
    <x v="11"/>
    <d v="2025-01-13T00:00:00"/>
    <s v="F"/>
    <x v="1"/>
    <x v="1"/>
    <x v="0"/>
    <x v="3"/>
    <x v="3"/>
    <n v="3"/>
    <x v="2"/>
  </r>
  <r>
    <s v="TX500274"/>
    <x v="16"/>
    <x v="9"/>
    <n v="48.7"/>
    <n v="243.5"/>
    <x v="11"/>
    <d v="2025-01-13T00:00:00"/>
    <s v="M"/>
    <x v="2"/>
    <x v="0"/>
    <x v="0"/>
    <x v="3"/>
    <x v="3"/>
    <n v="3"/>
    <x v="1"/>
  </r>
  <r>
    <s v="TX500275"/>
    <x v="0"/>
    <x v="9"/>
    <n v="22.5"/>
    <n v="112.5"/>
    <x v="11"/>
    <d v="2025-01-13T00:00:00"/>
    <s v="M"/>
    <x v="0"/>
    <x v="0"/>
    <x v="0"/>
    <x v="3"/>
    <x v="3"/>
    <n v="3"/>
    <x v="1"/>
  </r>
  <r>
    <s v="TX500276"/>
    <x v="1"/>
    <x v="8"/>
    <n v="65.900000000000006"/>
    <n v="527.20000000000005"/>
    <x v="11"/>
    <d v="2025-01-15T00:00:00"/>
    <s v="F"/>
    <x v="1"/>
    <x v="2"/>
    <x v="0"/>
    <x v="3"/>
    <x v="2"/>
    <n v="3"/>
    <x v="2"/>
  </r>
  <r>
    <s v="TX500277"/>
    <x v="6"/>
    <x v="9"/>
    <n v="41.9"/>
    <n v="209.5"/>
    <x v="11"/>
    <d v="2025-01-19T00:00:00"/>
    <s v=""/>
    <x v="0"/>
    <x v="0"/>
    <x v="0"/>
    <x v="3"/>
    <x v="6"/>
    <n v="3"/>
    <x v="0"/>
  </r>
  <r>
    <s v="TX500278"/>
    <x v="1"/>
    <x v="9"/>
    <n v="67.5"/>
    <n v="337.5"/>
    <x v="11"/>
    <d v="2025-01-13T00:00:00"/>
    <s v="F"/>
    <x v="0"/>
    <x v="2"/>
    <x v="0"/>
    <x v="3"/>
    <x v="3"/>
    <n v="3"/>
    <x v="2"/>
  </r>
  <r>
    <s v="TX500279"/>
    <x v="9"/>
    <x v="0"/>
    <n v="60.4"/>
    <n v="60.4"/>
    <x v="12"/>
    <d v="2025-01-15T00:00:00"/>
    <s v="F"/>
    <x v="1"/>
    <x v="1"/>
    <x v="0"/>
    <x v="3"/>
    <x v="1"/>
    <n v="3"/>
    <x v="2"/>
  </r>
  <r>
    <s v="TX500280"/>
    <x v="1"/>
    <x v="3"/>
    <n v="30.4"/>
    <n v="212.79999999999998"/>
    <x v="12"/>
    <d v="2025-01-16T00:00:00"/>
    <s v="F"/>
    <x v="4"/>
    <x v="0"/>
    <x v="0"/>
    <x v="3"/>
    <x v="2"/>
    <n v="3"/>
    <x v="2"/>
  </r>
  <r>
    <s v="TX500281"/>
    <x v="14"/>
    <x v="1"/>
    <n v="24.5"/>
    <n v="49"/>
    <x v="12"/>
    <d v="2025-01-14T00:00:00"/>
    <s v="M"/>
    <x v="3"/>
    <x v="2"/>
    <x v="0"/>
    <x v="3"/>
    <x v="3"/>
    <n v="3"/>
    <x v="1"/>
  </r>
  <r>
    <s v="TX500282"/>
    <x v="2"/>
    <x v="2"/>
    <n v="105.9"/>
    <n v="317.70000000000005"/>
    <x v="12"/>
    <d v="2025-01-18T00:00:00"/>
    <s v="M"/>
    <x v="0"/>
    <x v="0"/>
    <x v="0"/>
    <x v="37"/>
    <x v="0"/>
    <n v="3"/>
    <x v="1"/>
  </r>
  <r>
    <s v="TX500283"/>
    <x v="10"/>
    <x v="25"/>
    <n v="25.9"/>
    <n v="621.59999999999991"/>
    <x v="12"/>
    <d v="2025-01-14T00:00:00"/>
    <s v="F"/>
    <x v="4"/>
    <x v="0"/>
    <x v="0"/>
    <x v="23"/>
    <x v="3"/>
    <n v="3"/>
    <x v="2"/>
  </r>
  <r>
    <s v="TX500284"/>
    <x v="6"/>
    <x v="2"/>
    <n v="66.8"/>
    <n v="200.39999999999998"/>
    <x v="12"/>
    <d v="2025-01-13T00:00:00"/>
    <s v="M"/>
    <x v="0"/>
    <x v="0"/>
    <x v="0"/>
    <x v="23"/>
    <x v="7"/>
    <n v="3"/>
    <x v="1"/>
  </r>
  <r>
    <s v="TX500285"/>
    <x v="6"/>
    <x v="2"/>
    <n v="112.3"/>
    <n v="336.9"/>
    <x v="12"/>
    <d v="2025-01-14T00:00:00"/>
    <s v="M"/>
    <x v="2"/>
    <x v="4"/>
    <x v="0"/>
    <x v="6"/>
    <x v="3"/>
    <n v="3"/>
    <x v="1"/>
  </r>
  <r>
    <s v="TX500286"/>
    <x v="1"/>
    <x v="13"/>
    <n v="94.1"/>
    <n v="564.59999999999991"/>
    <x v="12"/>
    <d v="2025-01-14T00:00:00"/>
    <s v="F"/>
    <x v="0"/>
    <x v="4"/>
    <x v="0"/>
    <x v="6"/>
    <x v="3"/>
    <n v="3"/>
    <x v="2"/>
  </r>
  <r>
    <s v="TX500287"/>
    <x v="5"/>
    <x v="0"/>
    <n v="40.700000000000003"/>
    <n v="40.700000000000003"/>
    <x v="12"/>
    <d v="2025-01-16T00:00:00"/>
    <s v="F"/>
    <x v="2"/>
    <x v="0"/>
    <x v="0"/>
    <x v="6"/>
    <x v="2"/>
    <n v="3"/>
    <x v="2"/>
  </r>
  <r>
    <s v="TX500288"/>
    <x v="3"/>
    <x v="1"/>
    <n v="71.400000000000006"/>
    <n v="142.80000000000001"/>
    <x v="12"/>
    <d v="2025-01-14T00:00:00"/>
    <s v="M"/>
    <x v="0"/>
    <x v="0"/>
    <x v="0"/>
    <x v="7"/>
    <x v="3"/>
    <n v="3"/>
    <x v="1"/>
  </r>
  <r>
    <s v="TX500289"/>
    <x v="0"/>
    <x v="16"/>
    <n v="15.6"/>
    <n v="280.8"/>
    <x v="12"/>
    <d v="2025-01-14T00:00:00"/>
    <s v="M"/>
    <x v="1"/>
    <x v="3"/>
    <x v="0"/>
    <x v="8"/>
    <x v="3"/>
    <n v="3"/>
    <x v="1"/>
  </r>
  <r>
    <s v="TX500290"/>
    <x v="10"/>
    <x v="12"/>
    <n v="37.799999999999997"/>
    <n v="151.19999999999999"/>
    <x v="12"/>
    <d v="2025-01-14T00:00:00"/>
    <s v="M"/>
    <x v="2"/>
    <x v="2"/>
    <x v="0"/>
    <x v="8"/>
    <x v="3"/>
    <n v="3"/>
    <x v="1"/>
  </r>
  <r>
    <s v="TX500291"/>
    <x v="4"/>
    <x v="2"/>
    <n v="28.1"/>
    <n v="84.300000000000011"/>
    <x v="12"/>
    <d v="2025-01-17T00:00:00"/>
    <s v="M"/>
    <x v="0"/>
    <x v="0"/>
    <x v="0"/>
    <x v="8"/>
    <x v="5"/>
    <n v="3"/>
    <x v="1"/>
  </r>
  <r>
    <s v="TX500292"/>
    <x v="7"/>
    <x v="13"/>
    <n v="51.4"/>
    <n v="308.39999999999998"/>
    <x v="12"/>
    <d v="2025-01-17T00:00:00"/>
    <s v="M"/>
    <x v="0"/>
    <x v="0"/>
    <x v="0"/>
    <x v="8"/>
    <x v="5"/>
    <n v="3"/>
    <x v="1"/>
  </r>
  <r>
    <s v="TX500293"/>
    <x v="7"/>
    <x v="1"/>
    <n v="97.7"/>
    <n v="195.4"/>
    <x v="12"/>
    <d v="2025-01-15T00:00:00"/>
    <s v="F"/>
    <x v="4"/>
    <x v="2"/>
    <x v="0"/>
    <x v="17"/>
    <x v="1"/>
    <n v="3"/>
    <x v="2"/>
  </r>
  <r>
    <s v="TX500294"/>
    <x v="1"/>
    <x v="12"/>
    <n v="63.8"/>
    <n v="255.2"/>
    <x v="12"/>
    <d v="2025-01-14T00:00:00"/>
    <s v="M"/>
    <x v="2"/>
    <x v="0"/>
    <x v="0"/>
    <x v="38"/>
    <x v="3"/>
    <n v="3"/>
    <x v="1"/>
  </r>
  <r>
    <s v="TX500295"/>
    <x v="13"/>
    <x v="1"/>
    <n v="20.100000000000001"/>
    <n v="40.200000000000003"/>
    <x v="12"/>
    <d v="2025-01-15T00:00:00"/>
    <s v="M"/>
    <x v="0"/>
    <x v="2"/>
    <x v="0"/>
    <x v="20"/>
    <x v="1"/>
    <n v="3"/>
    <x v="1"/>
  </r>
  <r>
    <s v="TX500296"/>
    <x v="11"/>
    <x v="2"/>
    <n v="50.4"/>
    <n v="151.19999999999999"/>
    <x v="12"/>
    <d v="2025-01-16T00:00:00"/>
    <s v="F"/>
    <x v="3"/>
    <x v="0"/>
    <x v="0"/>
    <x v="13"/>
    <x v="2"/>
    <n v="3"/>
    <x v="2"/>
  </r>
  <r>
    <s v="TX500297"/>
    <x v="0"/>
    <x v="0"/>
    <n v="16.2"/>
    <n v="16.2"/>
    <x v="12"/>
    <d v="2025-01-26T00:00:00"/>
    <s v="F"/>
    <x v="1"/>
    <x v="0"/>
    <x v="0"/>
    <x v="1"/>
    <x v="10"/>
    <n v="3"/>
    <x v="2"/>
  </r>
  <r>
    <s v="TX500298"/>
    <x v="6"/>
    <x v="3"/>
    <n v="80.900000000000006"/>
    <n v="566.30000000000007"/>
    <x v="12"/>
    <d v="2025-01-15T00:00:00"/>
    <s v="M"/>
    <x v="4"/>
    <x v="4"/>
    <x v="0"/>
    <x v="2"/>
    <x v="1"/>
    <n v="3"/>
    <x v="1"/>
  </r>
  <r>
    <s v="TX500299"/>
    <x v="9"/>
    <x v="13"/>
    <n v="95.2"/>
    <n v="571.20000000000005"/>
    <x v="12"/>
    <d v="2025-01-15T00:00:00"/>
    <s v="F"/>
    <x v="0"/>
    <x v="2"/>
    <x v="0"/>
    <x v="2"/>
    <x v="1"/>
    <n v="3"/>
    <x v="2"/>
  </r>
  <r>
    <s v="TX500300"/>
    <x v="5"/>
    <x v="8"/>
    <n v="70.400000000000006"/>
    <n v="563.20000000000005"/>
    <x v="12"/>
    <d v="2025-01-14T00:00:00"/>
    <s v="M"/>
    <x v="1"/>
    <x v="1"/>
    <x v="0"/>
    <x v="3"/>
    <x v="3"/>
    <n v="3"/>
    <x v="1"/>
  </r>
  <r>
    <s v="TX500301"/>
    <x v="0"/>
    <x v="9"/>
    <n v="10.7"/>
    <n v="53.5"/>
    <x v="12"/>
    <d v="2025-01-17T00:00:00"/>
    <s v="F"/>
    <x v="2"/>
    <x v="0"/>
    <x v="0"/>
    <x v="3"/>
    <x v="5"/>
    <n v="3"/>
    <x v="2"/>
  </r>
  <r>
    <s v="TX500302"/>
    <x v="8"/>
    <x v="9"/>
    <n v="19.600000000000001"/>
    <n v="98"/>
    <x v="12"/>
    <d v="2025-01-15T00:00:00"/>
    <s v="F"/>
    <x v="0"/>
    <x v="3"/>
    <x v="0"/>
    <x v="3"/>
    <x v="1"/>
    <n v="3"/>
    <x v="2"/>
  </r>
  <r>
    <s v="TX500303"/>
    <x v="8"/>
    <x v="5"/>
    <n v="34.700000000000003"/>
    <n v="381.70000000000005"/>
    <x v="12"/>
    <d v="2025-01-15T00:00:00"/>
    <s v="F"/>
    <x v="0"/>
    <x v="2"/>
    <x v="0"/>
    <x v="3"/>
    <x v="1"/>
    <n v="3"/>
    <x v="2"/>
  </r>
  <r>
    <s v="TX500304"/>
    <x v="10"/>
    <x v="11"/>
    <n v="34.1"/>
    <n v="306.90000000000003"/>
    <x v="12"/>
    <d v="2025-01-14T00:00:00"/>
    <s v="F"/>
    <x v="4"/>
    <x v="1"/>
    <x v="0"/>
    <x v="3"/>
    <x v="3"/>
    <n v="3"/>
    <x v="2"/>
  </r>
  <r>
    <s v="TX500305"/>
    <x v="0"/>
    <x v="26"/>
    <n v="29.3"/>
    <n v="1435.7"/>
    <x v="12"/>
    <d v="2025-01-13T00:00:00"/>
    <s v="M"/>
    <x v="0"/>
    <x v="1"/>
    <x v="0"/>
    <x v="3"/>
    <x v="7"/>
    <n v="3"/>
    <x v="1"/>
  </r>
  <r>
    <s v="TX500306"/>
    <x v="1"/>
    <x v="0"/>
    <n v="55.2"/>
    <n v="55.2"/>
    <x v="12"/>
    <d v="2025-01-14T00:00:00"/>
    <s v="F"/>
    <x v="0"/>
    <x v="1"/>
    <x v="0"/>
    <x v="3"/>
    <x v="3"/>
    <n v="3"/>
    <x v="2"/>
  </r>
  <r>
    <s v="TX500307"/>
    <x v="18"/>
    <x v="2"/>
    <n v="26"/>
    <n v="78"/>
    <x v="12"/>
    <d v="2025-01-16T00:00:00"/>
    <s v="F"/>
    <x v="0"/>
    <x v="2"/>
    <x v="0"/>
    <x v="3"/>
    <x v="2"/>
    <n v="3"/>
    <x v="2"/>
  </r>
  <r>
    <s v="TX500308"/>
    <x v="14"/>
    <x v="1"/>
    <n v="14.2"/>
    <n v="28.4"/>
    <x v="12"/>
    <d v="2025-01-18T00:00:00"/>
    <s v="F"/>
    <x v="3"/>
    <x v="0"/>
    <x v="0"/>
    <x v="39"/>
    <x v="0"/>
    <n v="3"/>
    <x v="2"/>
  </r>
  <r>
    <s v="TX500309"/>
    <x v="8"/>
    <x v="11"/>
    <n v="22.7"/>
    <n v="204.29999999999998"/>
    <x v="13"/>
    <d v="2025-01-15T00:00:00"/>
    <s v="M"/>
    <x v="1"/>
    <x v="0"/>
    <x v="0"/>
    <x v="6"/>
    <x v="3"/>
    <n v="3"/>
    <x v="1"/>
  </r>
  <r>
    <s v="TX500310"/>
    <x v="0"/>
    <x v="20"/>
    <n v="19.8"/>
    <n v="297"/>
    <x v="13"/>
    <d v="2025-01-14T00:00:00"/>
    <s v="F"/>
    <x v="0"/>
    <x v="2"/>
    <x v="0"/>
    <x v="6"/>
    <x v="7"/>
    <n v="3"/>
    <x v="2"/>
  </r>
  <r>
    <s v="TX500311"/>
    <x v="0"/>
    <x v="2"/>
    <n v="31.7"/>
    <n v="95.1"/>
    <x v="13"/>
    <d v="2025-01-15T00:00:00"/>
    <s v="M"/>
    <x v="2"/>
    <x v="0"/>
    <x v="0"/>
    <x v="6"/>
    <x v="3"/>
    <n v="3"/>
    <x v="1"/>
  </r>
  <r>
    <s v="TX500312"/>
    <x v="8"/>
    <x v="12"/>
    <n v="30.4"/>
    <n v="121.6"/>
    <x v="13"/>
    <d v="2025-01-18T00:00:00"/>
    <s v="M"/>
    <x v="0"/>
    <x v="0"/>
    <x v="0"/>
    <x v="6"/>
    <x v="5"/>
    <n v="3"/>
    <x v="1"/>
  </r>
  <r>
    <s v="TX500313"/>
    <x v="0"/>
    <x v="12"/>
    <n v="25.6"/>
    <n v="102.4"/>
    <x v="13"/>
    <d v="2025-01-15T00:00:00"/>
    <s v="M"/>
    <x v="3"/>
    <x v="0"/>
    <x v="0"/>
    <x v="8"/>
    <x v="3"/>
    <n v="3"/>
    <x v="1"/>
  </r>
  <r>
    <s v="TX500314"/>
    <x v="5"/>
    <x v="1"/>
    <n v="34.9"/>
    <n v="69.8"/>
    <x v="13"/>
    <d v="2025-01-15T00:00:00"/>
    <s v="F"/>
    <x v="2"/>
    <x v="0"/>
    <x v="0"/>
    <x v="9"/>
    <x v="3"/>
    <n v="3"/>
    <x v="2"/>
  </r>
  <r>
    <s v="TX500315"/>
    <x v="7"/>
    <x v="13"/>
    <n v="42.7"/>
    <n v="256.20000000000005"/>
    <x v="13"/>
    <d v="2025-01-17T00:00:00"/>
    <s v="M"/>
    <x v="2"/>
    <x v="1"/>
    <x v="0"/>
    <x v="11"/>
    <x v="2"/>
    <n v="3"/>
    <x v="1"/>
  </r>
  <r>
    <s v="TX500316"/>
    <x v="8"/>
    <x v="0"/>
    <n v="23.9"/>
    <n v="23.9"/>
    <x v="13"/>
    <d v="2025-01-16T00:00:00"/>
    <s v="F"/>
    <x v="3"/>
    <x v="0"/>
    <x v="0"/>
    <x v="11"/>
    <x v="1"/>
    <n v="3"/>
    <x v="2"/>
  </r>
  <r>
    <s v="TX500317"/>
    <x v="6"/>
    <x v="0"/>
    <n v="124.3"/>
    <n v="124.3"/>
    <x v="13"/>
    <d v="2025-01-15T00:00:00"/>
    <s v=""/>
    <x v="2"/>
    <x v="1"/>
    <x v="0"/>
    <x v="21"/>
    <x v="3"/>
    <n v="3"/>
    <x v="0"/>
  </r>
  <r>
    <s v="TX500318"/>
    <x v="8"/>
    <x v="13"/>
    <n v="35.9"/>
    <n v="215.39999999999998"/>
    <x v="13"/>
    <d v="2025-01-15T00:00:00"/>
    <s v="F"/>
    <x v="0"/>
    <x v="1"/>
    <x v="0"/>
    <x v="1"/>
    <x v="3"/>
    <n v="3"/>
    <x v="2"/>
  </r>
  <r>
    <s v="TX500319"/>
    <x v="2"/>
    <x v="1"/>
    <n v="69.099999999999994"/>
    <n v="138.19999999999999"/>
    <x v="13"/>
    <d v="2025-01-17T00:00:00"/>
    <s v="F"/>
    <x v="0"/>
    <x v="2"/>
    <x v="0"/>
    <x v="22"/>
    <x v="2"/>
    <n v="3"/>
    <x v="2"/>
  </r>
  <r>
    <s v="TX500320"/>
    <x v="7"/>
    <x v="0"/>
    <n v="58.4"/>
    <n v="58.4"/>
    <x v="13"/>
    <d v="2025-01-18T00:00:00"/>
    <s v="M"/>
    <x v="0"/>
    <x v="0"/>
    <x v="0"/>
    <x v="22"/>
    <x v="5"/>
    <n v="3"/>
    <x v="1"/>
  </r>
  <r>
    <s v="TX500321"/>
    <x v="5"/>
    <x v="0"/>
    <n v="65.2"/>
    <n v="65.2"/>
    <x v="13"/>
    <d v="2025-01-16T00:00:00"/>
    <s v="O"/>
    <x v="4"/>
    <x v="4"/>
    <x v="0"/>
    <x v="3"/>
    <x v="1"/>
    <n v="3"/>
    <x v="3"/>
  </r>
  <r>
    <s v="TX500322"/>
    <x v="8"/>
    <x v="14"/>
    <n v="32.700000000000003"/>
    <n v="555.90000000000009"/>
    <x v="13"/>
    <d v="2025-01-21T00:00:00"/>
    <s v=""/>
    <x v="4"/>
    <x v="0"/>
    <x v="0"/>
    <x v="3"/>
    <x v="6"/>
    <n v="3"/>
    <x v="0"/>
  </r>
  <r>
    <s v="TX500323"/>
    <x v="10"/>
    <x v="3"/>
    <n v="24.4"/>
    <n v="170.79999999999998"/>
    <x v="13"/>
    <d v="2025-01-15T00:00:00"/>
    <s v="F"/>
    <x v="0"/>
    <x v="0"/>
    <x v="0"/>
    <x v="3"/>
    <x v="3"/>
    <n v="3"/>
    <x v="2"/>
  </r>
  <r>
    <s v="TX500324"/>
    <x v="14"/>
    <x v="1"/>
    <n v="50.4"/>
    <n v="100.8"/>
    <x v="13"/>
    <d v="2025-01-20T00:00:00"/>
    <s v="M"/>
    <x v="0"/>
    <x v="1"/>
    <x v="0"/>
    <x v="3"/>
    <x v="4"/>
    <n v="3"/>
    <x v="1"/>
  </r>
  <r>
    <s v="TX500325"/>
    <x v="1"/>
    <x v="1"/>
    <n v="100"/>
    <n v="200"/>
    <x v="13"/>
    <d v="2025-01-15T00:00:00"/>
    <s v="F"/>
    <x v="0"/>
    <x v="0"/>
    <x v="0"/>
    <x v="3"/>
    <x v="3"/>
    <n v="3"/>
    <x v="2"/>
  </r>
  <r>
    <s v="TX500326"/>
    <x v="10"/>
    <x v="2"/>
    <n v="43"/>
    <n v="129"/>
    <x v="14"/>
    <d v="2025-01-15T00:00:00"/>
    <s v="F"/>
    <x v="2"/>
    <x v="1"/>
    <x v="0"/>
    <x v="3"/>
    <x v="7"/>
    <n v="3"/>
    <x v="2"/>
  </r>
  <r>
    <s v="TX500327"/>
    <x v="1"/>
    <x v="9"/>
    <n v="64.400000000000006"/>
    <n v="322"/>
    <x v="14"/>
    <d v="2025-01-17T00:00:00"/>
    <s v="M"/>
    <x v="2"/>
    <x v="1"/>
    <x v="0"/>
    <x v="3"/>
    <x v="1"/>
    <n v="3"/>
    <x v="1"/>
  </r>
  <r>
    <s v="TX500328"/>
    <x v="18"/>
    <x v="1"/>
    <n v="57.4"/>
    <n v="114.8"/>
    <x v="14"/>
    <d v="2025-01-16T00:00:00"/>
    <s v="M"/>
    <x v="2"/>
    <x v="1"/>
    <x v="0"/>
    <x v="3"/>
    <x v="3"/>
    <n v="3"/>
    <x v="1"/>
  </r>
  <r>
    <s v="TX500329"/>
    <x v="2"/>
    <x v="2"/>
    <n v="55.1"/>
    <n v="165.3"/>
    <x v="14"/>
    <d v="2025-01-18T00:00:00"/>
    <s v="F"/>
    <x v="1"/>
    <x v="0"/>
    <x v="0"/>
    <x v="3"/>
    <x v="2"/>
    <n v="3"/>
    <x v="2"/>
  </r>
  <r>
    <s v="TX500330"/>
    <x v="7"/>
    <x v="12"/>
    <n v="45.4"/>
    <n v="181.6"/>
    <x v="14"/>
    <d v="2025-01-16T00:00:00"/>
    <s v="F"/>
    <x v="1"/>
    <x v="0"/>
    <x v="0"/>
    <x v="3"/>
    <x v="3"/>
    <n v="3"/>
    <x v="2"/>
  </r>
  <r>
    <s v="TX500331"/>
    <x v="3"/>
    <x v="2"/>
    <n v="93.3"/>
    <n v="279.89999999999998"/>
    <x v="14"/>
    <d v="2025-01-16T00:00:00"/>
    <s v="F"/>
    <x v="0"/>
    <x v="0"/>
    <x v="0"/>
    <x v="40"/>
    <x v="3"/>
    <n v="3"/>
    <x v="2"/>
  </r>
  <r>
    <s v="TX500332"/>
    <x v="2"/>
    <x v="10"/>
    <n v="158.19999999999999"/>
    <n v="3005.7999999999997"/>
    <x v="14"/>
    <d v="2025-01-16T00:00:00"/>
    <s v="F"/>
    <x v="1"/>
    <x v="2"/>
    <x v="0"/>
    <x v="16"/>
    <x v="3"/>
    <n v="3"/>
    <x v="2"/>
  </r>
  <r>
    <s v="TX500333"/>
    <x v="2"/>
    <x v="1"/>
    <n v="74.900000000000006"/>
    <n v="149.80000000000001"/>
    <x v="14"/>
    <d v="2025-01-17T00:00:00"/>
    <s v="M"/>
    <x v="3"/>
    <x v="0"/>
    <x v="0"/>
    <x v="6"/>
    <x v="1"/>
    <n v="3"/>
    <x v="1"/>
  </r>
  <r>
    <s v="TX500334"/>
    <x v="8"/>
    <x v="3"/>
    <n v="26"/>
    <n v="182"/>
    <x v="14"/>
    <d v="2025-01-18T00:00:00"/>
    <s v="F"/>
    <x v="1"/>
    <x v="0"/>
    <x v="0"/>
    <x v="8"/>
    <x v="2"/>
    <n v="3"/>
    <x v="2"/>
  </r>
  <r>
    <s v="TX500335"/>
    <x v="9"/>
    <x v="13"/>
    <n v="37.5"/>
    <n v="225"/>
    <x v="14"/>
    <d v="2025-01-16T00:00:00"/>
    <s v="F"/>
    <x v="0"/>
    <x v="1"/>
    <x v="0"/>
    <x v="8"/>
    <x v="3"/>
    <n v="3"/>
    <x v="2"/>
  </r>
  <r>
    <s v="TX500336"/>
    <x v="6"/>
    <x v="1"/>
    <n v="75.8"/>
    <n v="151.6"/>
    <x v="14"/>
    <d v="2025-01-21T00:00:00"/>
    <s v="M"/>
    <x v="0"/>
    <x v="0"/>
    <x v="0"/>
    <x v="8"/>
    <x v="4"/>
    <n v="3"/>
    <x v="1"/>
  </r>
  <r>
    <s v="TX500337"/>
    <x v="7"/>
    <x v="0"/>
    <n v="48.5"/>
    <n v="48.5"/>
    <x v="14"/>
    <d v="2025-01-27T00:00:00"/>
    <s v=""/>
    <x v="4"/>
    <x v="2"/>
    <x v="0"/>
    <x v="8"/>
    <x v="13"/>
    <n v="3"/>
    <x v="0"/>
  </r>
  <r>
    <s v="TX500338"/>
    <x v="6"/>
    <x v="2"/>
    <n v="98.9"/>
    <n v="296.70000000000005"/>
    <x v="14"/>
    <d v="2025-01-17T00:00:00"/>
    <s v="F"/>
    <x v="4"/>
    <x v="1"/>
    <x v="0"/>
    <x v="8"/>
    <x v="1"/>
    <n v="3"/>
    <x v="2"/>
  </r>
  <r>
    <s v="TX500339"/>
    <x v="1"/>
    <x v="4"/>
    <n v="50.9"/>
    <n v="610.79999999999995"/>
    <x v="14"/>
    <d v="2025-01-15T00:00:00"/>
    <s v="M"/>
    <x v="4"/>
    <x v="0"/>
    <x v="0"/>
    <x v="8"/>
    <x v="7"/>
    <n v="3"/>
    <x v="1"/>
  </r>
  <r>
    <s v="TX500340"/>
    <x v="12"/>
    <x v="13"/>
    <n v="84.7"/>
    <n v="508.20000000000005"/>
    <x v="14"/>
    <d v="2025-01-15T00:00:00"/>
    <s v="F"/>
    <x v="2"/>
    <x v="0"/>
    <x v="0"/>
    <x v="8"/>
    <x v="7"/>
    <n v="3"/>
    <x v="2"/>
  </r>
  <r>
    <s v="TX500341"/>
    <x v="8"/>
    <x v="0"/>
    <n v="20.7"/>
    <n v="20.7"/>
    <x v="14"/>
    <d v="2025-01-17T00:00:00"/>
    <s v="F"/>
    <x v="3"/>
    <x v="2"/>
    <x v="0"/>
    <x v="8"/>
    <x v="1"/>
    <n v="3"/>
    <x v="2"/>
  </r>
  <r>
    <s v="TX500342"/>
    <x v="12"/>
    <x v="11"/>
    <n v="57.8"/>
    <n v="520.19999999999993"/>
    <x v="14"/>
    <d v="2025-01-26T00:00:00"/>
    <s v="M"/>
    <x v="0"/>
    <x v="4"/>
    <x v="0"/>
    <x v="17"/>
    <x v="11"/>
    <n v="3"/>
    <x v="1"/>
  </r>
  <r>
    <s v="TX500343"/>
    <x v="2"/>
    <x v="1"/>
    <n v="106.9"/>
    <n v="213.8"/>
    <x v="14"/>
    <d v="2025-01-17T00:00:00"/>
    <s v="F"/>
    <x v="0"/>
    <x v="2"/>
    <x v="0"/>
    <x v="41"/>
    <x v="1"/>
    <n v="3"/>
    <x v="2"/>
  </r>
  <r>
    <s v="TX500344"/>
    <x v="3"/>
    <x v="9"/>
    <n v="45.2"/>
    <n v="226"/>
    <x v="14"/>
    <d v="2025-01-19T00:00:00"/>
    <s v="F"/>
    <x v="1"/>
    <x v="0"/>
    <x v="0"/>
    <x v="21"/>
    <x v="5"/>
    <n v="3"/>
    <x v="2"/>
  </r>
  <r>
    <s v="TX500345"/>
    <x v="8"/>
    <x v="15"/>
    <n v="34.6"/>
    <n v="449.8"/>
    <x v="14"/>
    <d v="2025-01-15T00:00:00"/>
    <s v="F"/>
    <x v="1"/>
    <x v="1"/>
    <x v="0"/>
    <x v="21"/>
    <x v="7"/>
    <n v="3"/>
    <x v="2"/>
  </r>
  <r>
    <s v="TX500346"/>
    <x v="15"/>
    <x v="0"/>
    <n v="43.8"/>
    <n v="43.8"/>
    <x v="14"/>
    <d v="2025-01-17T00:00:00"/>
    <s v=""/>
    <x v="0"/>
    <x v="2"/>
    <x v="0"/>
    <x v="21"/>
    <x v="1"/>
    <n v="3"/>
    <x v="0"/>
  </r>
  <r>
    <s v="TX500347"/>
    <x v="15"/>
    <x v="0"/>
    <n v="20.399999999999999"/>
    <n v="20.399999999999999"/>
    <x v="14"/>
    <d v="2025-01-17T00:00:00"/>
    <s v="M"/>
    <x v="4"/>
    <x v="1"/>
    <x v="0"/>
    <x v="21"/>
    <x v="1"/>
    <n v="3"/>
    <x v="1"/>
  </r>
  <r>
    <s v="TX500348"/>
    <x v="1"/>
    <x v="0"/>
    <n v="36.700000000000003"/>
    <n v="36.700000000000003"/>
    <x v="14"/>
    <d v="2025-01-16T00:00:00"/>
    <s v="M"/>
    <x v="0"/>
    <x v="1"/>
    <x v="0"/>
    <x v="1"/>
    <x v="3"/>
    <n v="3"/>
    <x v="1"/>
  </r>
  <r>
    <s v="TX500349"/>
    <x v="8"/>
    <x v="2"/>
    <n v="27.2"/>
    <n v="81.599999999999994"/>
    <x v="14"/>
    <d v="2025-01-19T00:00:00"/>
    <s v="M"/>
    <x v="0"/>
    <x v="2"/>
    <x v="0"/>
    <x v="1"/>
    <x v="5"/>
    <n v="3"/>
    <x v="1"/>
  </r>
  <r>
    <s v="TX500350"/>
    <x v="6"/>
    <x v="0"/>
    <n v="58.2"/>
    <n v="58.2"/>
    <x v="14"/>
    <d v="2025-01-16T00:00:00"/>
    <s v="F"/>
    <x v="0"/>
    <x v="2"/>
    <x v="0"/>
    <x v="42"/>
    <x v="3"/>
    <n v="3"/>
    <x v="2"/>
  </r>
  <r>
    <s v="TX500351"/>
    <x v="8"/>
    <x v="2"/>
    <n v="25.6"/>
    <n v="76.800000000000011"/>
    <x v="14"/>
    <d v="2025-01-16T00:00:00"/>
    <s v="M"/>
    <x v="4"/>
    <x v="4"/>
    <x v="0"/>
    <x v="2"/>
    <x v="3"/>
    <n v="3"/>
    <x v="1"/>
  </r>
  <r>
    <s v="TX500352"/>
    <x v="10"/>
    <x v="0"/>
    <n v="21.2"/>
    <n v="21.2"/>
    <x v="14"/>
    <d v="2025-01-15T00:00:00"/>
    <s v="F"/>
    <x v="1"/>
    <x v="2"/>
    <x v="0"/>
    <x v="3"/>
    <x v="7"/>
    <n v="3"/>
    <x v="2"/>
  </r>
  <r>
    <s v="TX500353"/>
    <x v="6"/>
    <x v="1"/>
    <n v="48.2"/>
    <n v="96.4"/>
    <x v="14"/>
    <d v="2025-01-23T00:00:00"/>
    <s v="F"/>
    <x v="0"/>
    <x v="2"/>
    <x v="0"/>
    <x v="3"/>
    <x v="9"/>
    <n v="3"/>
    <x v="2"/>
  </r>
  <r>
    <s v="TX500354"/>
    <x v="1"/>
    <x v="12"/>
    <n v="83.4"/>
    <n v="333.6"/>
    <x v="15"/>
    <d v="2025-01-17T00:00:00"/>
    <s v="M"/>
    <x v="0"/>
    <x v="0"/>
    <x v="0"/>
    <x v="3"/>
    <x v="3"/>
    <n v="3"/>
    <x v="1"/>
  </r>
  <r>
    <s v="TX500355"/>
    <x v="9"/>
    <x v="2"/>
    <n v="45.3"/>
    <n v="135.89999999999998"/>
    <x v="15"/>
    <d v="2025-01-22T00:00:00"/>
    <s v="M"/>
    <x v="2"/>
    <x v="1"/>
    <x v="0"/>
    <x v="3"/>
    <x v="4"/>
    <n v="3"/>
    <x v="1"/>
  </r>
  <r>
    <s v="TX500356"/>
    <x v="17"/>
    <x v="0"/>
    <n v="42"/>
    <n v="42"/>
    <x v="15"/>
    <d v="2025-01-17T00:00:00"/>
    <s v=""/>
    <x v="0"/>
    <x v="0"/>
    <x v="0"/>
    <x v="3"/>
    <x v="3"/>
    <n v="3"/>
    <x v="0"/>
  </r>
  <r>
    <s v="TX500357"/>
    <x v="0"/>
    <x v="11"/>
    <n v="21.8"/>
    <n v="196.20000000000002"/>
    <x v="15"/>
    <d v="2025-01-18T00:00:00"/>
    <s v="F"/>
    <x v="1"/>
    <x v="0"/>
    <x v="0"/>
    <x v="3"/>
    <x v="1"/>
    <n v="3"/>
    <x v="2"/>
  </r>
  <r>
    <s v="TX500358"/>
    <x v="8"/>
    <x v="16"/>
    <n v="21.4"/>
    <n v="385.2"/>
    <x v="15"/>
    <d v="2025-01-19T00:00:00"/>
    <s v="F"/>
    <x v="1"/>
    <x v="2"/>
    <x v="0"/>
    <x v="3"/>
    <x v="2"/>
    <n v="3"/>
    <x v="2"/>
  </r>
  <r>
    <s v="TX500359"/>
    <x v="10"/>
    <x v="2"/>
    <n v="45"/>
    <n v="135"/>
    <x v="15"/>
    <d v="2025-01-16T00:00:00"/>
    <s v="F"/>
    <x v="1"/>
    <x v="2"/>
    <x v="0"/>
    <x v="3"/>
    <x v="7"/>
    <n v="3"/>
    <x v="2"/>
  </r>
  <r>
    <s v="TX500360"/>
    <x v="14"/>
    <x v="0"/>
    <n v="39.6"/>
    <n v="39.6"/>
    <x v="15"/>
    <d v="2025-01-17T00:00:00"/>
    <s v="M"/>
    <x v="0"/>
    <x v="2"/>
    <x v="0"/>
    <x v="3"/>
    <x v="3"/>
    <n v="3"/>
    <x v="1"/>
  </r>
  <r>
    <s v="TX500361"/>
    <x v="12"/>
    <x v="2"/>
    <n v="79.8"/>
    <n v="239.39999999999998"/>
    <x v="15"/>
    <d v="2025-01-22T00:00:00"/>
    <s v="F"/>
    <x v="1"/>
    <x v="4"/>
    <x v="0"/>
    <x v="3"/>
    <x v="4"/>
    <n v="3"/>
    <x v="2"/>
  </r>
  <r>
    <s v="TX500362"/>
    <x v="1"/>
    <x v="12"/>
    <n v="63.6"/>
    <n v="254.4"/>
    <x v="15"/>
    <d v="2025-01-17T00:00:00"/>
    <s v="O"/>
    <x v="0"/>
    <x v="2"/>
    <x v="0"/>
    <x v="24"/>
    <x v="3"/>
    <n v="3"/>
    <x v="3"/>
  </r>
  <r>
    <s v="TX500363"/>
    <x v="7"/>
    <x v="7"/>
    <n v="92.7"/>
    <n v="927"/>
    <x v="15"/>
    <d v="2025-01-20T00:00:00"/>
    <s v="M"/>
    <x v="1"/>
    <x v="2"/>
    <x v="0"/>
    <x v="6"/>
    <x v="5"/>
    <n v="3"/>
    <x v="1"/>
  </r>
  <r>
    <s v="TX500364"/>
    <x v="1"/>
    <x v="12"/>
    <n v="48.4"/>
    <n v="193.6"/>
    <x v="15"/>
    <d v="2025-01-18T00:00:00"/>
    <s v="F"/>
    <x v="1"/>
    <x v="2"/>
    <x v="0"/>
    <x v="6"/>
    <x v="1"/>
    <n v="3"/>
    <x v="2"/>
  </r>
  <r>
    <s v="TX500365"/>
    <x v="9"/>
    <x v="8"/>
    <n v="36"/>
    <n v="288"/>
    <x v="15"/>
    <d v="2025-01-19T00:00:00"/>
    <s v="M"/>
    <x v="2"/>
    <x v="2"/>
    <x v="0"/>
    <x v="8"/>
    <x v="2"/>
    <n v="3"/>
    <x v="1"/>
  </r>
  <r>
    <s v="TX500366"/>
    <x v="8"/>
    <x v="4"/>
    <n v="27"/>
    <n v="324"/>
    <x v="15"/>
    <d v="2025-01-18T00:00:00"/>
    <s v="F"/>
    <x v="2"/>
    <x v="1"/>
    <x v="0"/>
    <x v="8"/>
    <x v="1"/>
    <n v="3"/>
    <x v="2"/>
  </r>
  <r>
    <s v="TX500367"/>
    <x v="2"/>
    <x v="8"/>
    <n v="53.9"/>
    <n v="431.2"/>
    <x v="15"/>
    <d v="2025-01-17T00:00:00"/>
    <s v=""/>
    <x v="0"/>
    <x v="0"/>
    <x v="0"/>
    <x v="8"/>
    <x v="3"/>
    <n v="3"/>
    <x v="0"/>
  </r>
  <r>
    <s v="TX500368"/>
    <x v="3"/>
    <x v="11"/>
    <n v="48.4"/>
    <n v="435.59999999999997"/>
    <x v="15"/>
    <d v="2025-01-17T00:00:00"/>
    <s v="F"/>
    <x v="1"/>
    <x v="0"/>
    <x v="0"/>
    <x v="9"/>
    <x v="3"/>
    <n v="3"/>
    <x v="2"/>
  </r>
  <r>
    <s v="TX500369"/>
    <x v="17"/>
    <x v="1"/>
    <n v="49.9"/>
    <n v="99.8"/>
    <x v="15"/>
    <d v="2025-01-21T00:00:00"/>
    <s v="M"/>
    <x v="4"/>
    <x v="4"/>
    <x v="0"/>
    <x v="10"/>
    <x v="0"/>
    <n v="3"/>
    <x v="1"/>
  </r>
  <r>
    <s v="TX500370"/>
    <x v="1"/>
    <x v="2"/>
    <n v="51.7"/>
    <n v="155.10000000000002"/>
    <x v="15"/>
    <d v="2025-01-17T00:00:00"/>
    <s v="F"/>
    <x v="0"/>
    <x v="2"/>
    <x v="0"/>
    <x v="11"/>
    <x v="3"/>
    <n v="3"/>
    <x v="2"/>
  </r>
  <r>
    <s v="TX500371"/>
    <x v="8"/>
    <x v="2"/>
    <n v="41.8"/>
    <n v="125.39999999999999"/>
    <x v="15"/>
    <d v="2025-01-18T00:00:00"/>
    <s v="F"/>
    <x v="2"/>
    <x v="0"/>
    <x v="0"/>
    <x v="18"/>
    <x v="1"/>
    <n v="3"/>
    <x v="2"/>
  </r>
  <r>
    <s v="TX500372"/>
    <x v="4"/>
    <x v="12"/>
    <n v="36.200000000000003"/>
    <n v="144.80000000000001"/>
    <x v="16"/>
    <d v="2025-01-18T00:00:00"/>
    <s v="M"/>
    <x v="2"/>
    <x v="2"/>
    <x v="0"/>
    <x v="21"/>
    <x v="3"/>
    <n v="3"/>
    <x v="1"/>
  </r>
  <r>
    <s v="TX500373"/>
    <x v="2"/>
    <x v="0"/>
    <n v="150.9"/>
    <n v="150.9"/>
    <x v="16"/>
    <d v="2025-01-27T00:00:00"/>
    <s v="M"/>
    <x v="0"/>
    <x v="0"/>
    <x v="0"/>
    <x v="1"/>
    <x v="14"/>
    <n v="3"/>
    <x v="1"/>
  </r>
  <r>
    <s v="TX500374"/>
    <x v="18"/>
    <x v="12"/>
    <n v="77.599999999999994"/>
    <n v="310.39999999999998"/>
    <x v="16"/>
    <d v="2025-01-18T00:00:00"/>
    <s v=""/>
    <x v="2"/>
    <x v="0"/>
    <x v="0"/>
    <x v="3"/>
    <x v="3"/>
    <n v="3"/>
    <x v="0"/>
  </r>
  <r>
    <s v="TX500375"/>
    <x v="13"/>
    <x v="9"/>
    <n v="65.5"/>
    <n v="327.5"/>
    <x v="16"/>
    <d v="2025-01-17T00:00:00"/>
    <s v="M"/>
    <x v="1"/>
    <x v="0"/>
    <x v="0"/>
    <x v="3"/>
    <x v="7"/>
    <n v="3"/>
    <x v="1"/>
  </r>
  <r>
    <s v="TX500376"/>
    <x v="6"/>
    <x v="2"/>
    <n v="90.1"/>
    <n v="270.29999999999995"/>
    <x v="16"/>
    <d v="2025-01-19T00:00:00"/>
    <s v="F"/>
    <x v="0"/>
    <x v="0"/>
    <x v="0"/>
    <x v="3"/>
    <x v="1"/>
    <n v="3"/>
    <x v="2"/>
  </r>
  <r>
    <s v="TX500377"/>
    <x v="1"/>
    <x v="1"/>
    <n v="108.3"/>
    <n v="216.6"/>
    <x v="16"/>
    <d v="2025-01-20T00:00:00"/>
    <s v="O"/>
    <x v="4"/>
    <x v="0"/>
    <x v="0"/>
    <x v="3"/>
    <x v="2"/>
    <n v="3"/>
    <x v="3"/>
  </r>
  <r>
    <s v="TX500378"/>
    <x v="5"/>
    <x v="2"/>
    <n v="59.9"/>
    <n v="179.7"/>
    <x v="16"/>
    <d v="2025-01-21T00:00:00"/>
    <s v="F"/>
    <x v="0"/>
    <x v="0"/>
    <x v="0"/>
    <x v="3"/>
    <x v="5"/>
    <n v="3"/>
    <x v="2"/>
  </r>
  <r>
    <s v="TX500379"/>
    <x v="2"/>
    <x v="14"/>
    <n v="139"/>
    <n v="2363"/>
    <x v="16"/>
    <d v="2025-01-19T00:00:00"/>
    <s v="F"/>
    <x v="1"/>
    <x v="4"/>
    <x v="0"/>
    <x v="3"/>
    <x v="1"/>
    <n v="3"/>
    <x v="2"/>
  </r>
  <r>
    <s v="TX500380"/>
    <x v="6"/>
    <x v="2"/>
    <n v="87.3"/>
    <n v="261.89999999999998"/>
    <x v="16"/>
    <d v="2025-01-18T00:00:00"/>
    <s v="F"/>
    <x v="0"/>
    <x v="0"/>
    <x v="0"/>
    <x v="3"/>
    <x v="3"/>
    <n v="3"/>
    <x v="2"/>
  </r>
  <r>
    <s v="TX500381"/>
    <x v="11"/>
    <x v="12"/>
    <n v="42.3"/>
    <n v="169.2"/>
    <x v="16"/>
    <d v="2025-01-17T00:00:00"/>
    <s v="M"/>
    <x v="0"/>
    <x v="0"/>
    <x v="0"/>
    <x v="3"/>
    <x v="7"/>
    <n v="3"/>
    <x v="1"/>
  </r>
  <r>
    <s v="TX500382"/>
    <x v="14"/>
    <x v="8"/>
    <n v="103.6"/>
    <n v="828.8"/>
    <x v="16"/>
    <d v="2025-01-18T00:00:00"/>
    <s v="O"/>
    <x v="0"/>
    <x v="1"/>
    <x v="0"/>
    <x v="3"/>
    <x v="3"/>
    <n v="3"/>
    <x v="3"/>
  </r>
  <r>
    <s v="TX500383"/>
    <x v="6"/>
    <x v="1"/>
    <n v="90.9"/>
    <n v="181.8"/>
    <x v="16"/>
    <d v="2025-01-18T00:00:00"/>
    <s v="M"/>
    <x v="1"/>
    <x v="0"/>
    <x v="0"/>
    <x v="6"/>
    <x v="3"/>
    <n v="3"/>
    <x v="1"/>
  </r>
  <r>
    <s v="TX500384"/>
    <x v="9"/>
    <x v="27"/>
    <n v="100.9"/>
    <n v="1614.4"/>
    <x v="16"/>
    <d v="2025-01-18T00:00:00"/>
    <s v="F"/>
    <x v="1"/>
    <x v="0"/>
    <x v="0"/>
    <x v="6"/>
    <x v="3"/>
    <n v="3"/>
    <x v="2"/>
  </r>
  <r>
    <s v="TX500385"/>
    <x v="4"/>
    <x v="9"/>
    <n v="36"/>
    <n v="180"/>
    <x v="16"/>
    <d v="2025-01-19T00:00:00"/>
    <s v="F"/>
    <x v="1"/>
    <x v="0"/>
    <x v="0"/>
    <x v="7"/>
    <x v="1"/>
    <n v="3"/>
    <x v="2"/>
  </r>
  <r>
    <s v="TX500386"/>
    <x v="6"/>
    <x v="13"/>
    <n v="83.3"/>
    <n v="499.79999999999995"/>
    <x v="16"/>
    <d v="2025-01-20T00:00:00"/>
    <s v=""/>
    <x v="2"/>
    <x v="0"/>
    <x v="0"/>
    <x v="7"/>
    <x v="2"/>
    <n v="3"/>
    <x v="0"/>
  </r>
  <r>
    <s v="TX500387"/>
    <x v="2"/>
    <x v="14"/>
    <n v="60.3"/>
    <n v="1025.0999999999999"/>
    <x v="16"/>
    <d v="2025-01-18T00:00:00"/>
    <s v="M"/>
    <x v="2"/>
    <x v="1"/>
    <x v="0"/>
    <x v="7"/>
    <x v="3"/>
    <n v="3"/>
    <x v="1"/>
  </r>
  <r>
    <s v="TX500388"/>
    <x v="2"/>
    <x v="13"/>
    <n v="120.3"/>
    <n v="721.8"/>
    <x v="16"/>
    <d v="2025-01-18T00:00:00"/>
    <s v="M"/>
    <x v="2"/>
    <x v="0"/>
    <x v="0"/>
    <x v="8"/>
    <x v="3"/>
    <n v="3"/>
    <x v="1"/>
  </r>
  <r>
    <s v="TX500389"/>
    <x v="4"/>
    <x v="7"/>
    <n v="34"/>
    <n v="340"/>
    <x v="16"/>
    <d v="2025-01-21T00:00:00"/>
    <s v="F"/>
    <x v="2"/>
    <x v="0"/>
    <x v="0"/>
    <x v="8"/>
    <x v="5"/>
    <n v="3"/>
    <x v="2"/>
  </r>
  <r>
    <s v="TX500390"/>
    <x v="10"/>
    <x v="9"/>
    <n v="42.6"/>
    <n v="213"/>
    <x v="16"/>
    <d v="2025-01-20T00:00:00"/>
    <s v="M"/>
    <x v="1"/>
    <x v="0"/>
    <x v="0"/>
    <x v="8"/>
    <x v="2"/>
    <n v="3"/>
    <x v="1"/>
  </r>
  <r>
    <s v="TX500391"/>
    <x v="5"/>
    <x v="28"/>
    <n v="47.4"/>
    <n v="948"/>
    <x v="16"/>
    <d v="2025-01-17T00:00:00"/>
    <s v="F"/>
    <x v="2"/>
    <x v="1"/>
    <x v="0"/>
    <x v="17"/>
    <x v="7"/>
    <n v="3"/>
    <x v="2"/>
  </r>
  <r>
    <s v="TX500392"/>
    <x v="2"/>
    <x v="0"/>
    <n v="74"/>
    <n v="74"/>
    <x v="17"/>
    <d v="2025-01-19T00:00:00"/>
    <s v="M"/>
    <x v="1"/>
    <x v="0"/>
    <x v="0"/>
    <x v="11"/>
    <x v="3"/>
    <n v="3"/>
    <x v="1"/>
  </r>
  <r>
    <s v="TX500393"/>
    <x v="2"/>
    <x v="9"/>
    <n v="60.4"/>
    <n v="302"/>
    <x v="17"/>
    <d v="2025-01-21T00:00:00"/>
    <s v="F"/>
    <x v="1"/>
    <x v="4"/>
    <x v="0"/>
    <x v="18"/>
    <x v="2"/>
    <n v="3"/>
    <x v="2"/>
  </r>
  <r>
    <s v="TX500394"/>
    <x v="12"/>
    <x v="1"/>
    <n v="69.3"/>
    <n v="138.6"/>
    <x v="17"/>
    <d v="2025-01-21T00:00:00"/>
    <s v="M"/>
    <x v="1"/>
    <x v="1"/>
    <x v="0"/>
    <x v="13"/>
    <x v="2"/>
    <n v="3"/>
    <x v="1"/>
  </r>
  <r>
    <s v="TX500395"/>
    <x v="5"/>
    <x v="9"/>
    <n v="81"/>
    <n v="405"/>
    <x v="17"/>
    <d v="2025-01-24T00:00:00"/>
    <s v="M"/>
    <x v="3"/>
    <x v="0"/>
    <x v="0"/>
    <x v="21"/>
    <x v="4"/>
    <n v="3"/>
    <x v="1"/>
  </r>
  <r>
    <s v="TX500396"/>
    <x v="15"/>
    <x v="2"/>
    <n v="41.5"/>
    <n v="124.5"/>
    <x v="17"/>
    <d v="2025-01-20T00:00:00"/>
    <s v="O"/>
    <x v="1"/>
    <x v="0"/>
    <x v="0"/>
    <x v="21"/>
    <x v="1"/>
    <n v="3"/>
    <x v="3"/>
  </r>
  <r>
    <s v="TX500397"/>
    <x v="18"/>
    <x v="1"/>
    <n v="69.7"/>
    <n v="139.4"/>
    <x v="17"/>
    <d v="2025-01-23T00:00:00"/>
    <s v="M"/>
    <x v="1"/>
    <x v="0"/>
    <x v="0"/>
    <x v="21"/>
    <x v="0"/>
    <n v="3"/>
    <x v="1"/>
  </r>
  <r>
    <s v="TX500398"/>
    <x v="2"/>
    <x v="9"/>
    <n v="83.6"/>
    <n v="418"/>
    <x v="17"/>
    <d v="2025-01-18T00:00:00"/>
    <s v="F"/>
    <x v="4"/>
    <x v="0"/>
    <x v="0"/>
    <x v="1"/>
    <x v="7"/>
    <n v="3"/>
    <x v="2"/>
  </r>
  <r>
    <s v="TX500399"/>
    <x v="8"/>
    <x v="3"/>
    <n v="21.5"/>
    <n v="150.5"/>
    <x v="17"/>
    <d v="2025-01-20T00:00:00"/>
    <s v="M"/>
    <x v="1"/>
    <x v="4"/>
    <x v="0"/>
    <x v="34"/>
    <x v="1"/>
    <n v="3"/>
    <x v="1"/>
  </r>
  <r>
    <s v="TX500400"/>
    <x v="8"/>
    <x v="8"/>
    <n v="28.6"/>
    <n v="228.8"/>
    <x v="17"/>
    <d v="2025-01-19T00:00:00"/>
    <s v="M"/>
    <x v="0"/>
    <x v="0"/>
    <x v="0"/>
    <x v="3"/>
    <x v="3"/>
    <n v="3"/>
    <x v="1"/>
  </r>
  <r>
    <s v="TX500401"/>
    <x v="8"/>
    <x v="13"/>
    <n v="18.8"/>
    <n v="112.80000000000001"/>
    <x v="17"/>
    <d v="2025-01-21T00:00:00"/>
    <s v="M"/>
    <x v="3"/>
    <x v="2"/>
    <x v="0"/>
    <x v="3"/>
    <x v="2"/>
    <n v="3"/>
    <x v="1"/>
  </r>
  <r>
    <s v="TX500402"/>
    <x v="10"/>
    <x v="12"/>
    <n v="35.1"/>
    <n v="140.4"/>
    <x v="17"/>
    <d v="2025-01-18T00:00:00"/>
    <s v="F"/>
    <x v="1"/>
    <x v="1"/>
    <x v="0"/>
    <x v="3"/>
    <x v="7"/>
    <n v="3"/>
    <x v="2"/>
  </r>
  <r>
    <s v="TX500403"/>
    <x v="0"/>
    <x v="1"/>
    <n v="12.7"/>
    <n v="25.4"/>
    <x v="17"/>
    <d v="2025-01-20T00:00:00"/>
    <s v="F"/>
    <x v="1"/>
    <x v="2"/>
    <x v="0"/>
    <x v="3"/>
    <x v="1"/>
    <n v="3"/>
    <x v="2"/>
  </r>
  <r>
    <s v="TX500404"/>
    <x v="8"/>
    <x v="9"/>
    <n v="27.4"/>
    <n v="137"/>
    <x v="17"/>
    <d v="2025-01-20T00:00:00"/>
    <s v="O"/>
    <x v="0"/>
    <x v="0"/>
    <x v="0"/>
    <x v="3"/>
    <x v="1"/>
    <n v="3"/>
    <x v="3"/>
  </r>
  <r>
    <s v="TX500405"/>
    <x v="10"/>
    <x v="1"/>
    <n v="61.3"/>
    <n v="122.6"/>
    <x v="17"/>
    <d v="2025-01-19T00:00:00"/>
    <s v="F"/>
    <x v="1"/>
    <x v="0"/>
    <x v="0"/>
    <x v="6"/>
    <x v="3"/>
    <n v="3"/>
    <x v="2"/>
  </r>
  <r>
    <s v="TX500406"/>
    <x v="8"/>
    <x v="1"/>
    <n v="64.7"/>
    <n v="129.4"/>
    <x v="17"/>
    <d v="2025-01-20T00:00:00"/>
    <s v="F"/>
    <x v="3"/>
    <x v="2"/>
    <x v="0"/>
    <x v="6"/>
    <x v="1"/>
    <n v="3"/>
    <x v="2"/>
  </r>
  <r>
    <s v="TX500407"/>
    <x v="7"/>
    <x v="12"/>
    <n v="91.4"/>
    <n v="365.6"/>
    <x v="17"/>
    <d v="2025-01-20T00:00:00"/>
    <s v="F"/>
    <x v="0"/>
    <x v="0"/>
    <x v="0"/>
    <x v="8"/>
    <x v="1"/>
    <n v="3"/>
    <x v="2"/>
  </r>
  <r>
    <s v="TX500408"/>
    <x v="0"/>
    <x v="1"/>
    <n v="33.1"/>
    <n v="66.2"/>
    <x v="18"/>
    <d v="2025-01-20T00:00:00"/>
    <s v="M"/>
    <x v="0"/>
    <x v="2"/>
    <x v="0"/>
    <x v="8"/>
    <x v="3"/>
    <n v="4"/>
    <x v="1"/>
  </r>
  <r>
    <s v="TX500409"/>
    <x v="3"/>
    <x v="1"/>
    <n v="105.6"/>
    <n v="211.2"/>
    <x v="18"/>
    <d v="2025-01-20T00:00:00"/>
    <s v="M"/>
    <x v="2"/>
    <x v="1"/>
    <x v="0"/>
    <x v="8"/>
    <x v="3"/>
    <n v="4"/>
    <x v="1"/>
  </r>
  <r>
    <s v="TX500410"/>
    <x v="10"/>
    <x v="2"/>
    <n v="46.4"/>
    <n v="139.19999999999999"/>
    <x v="18"/>
    <d v="2025-01-20T00:00:00"/>
    <s v="M"/>
    <x v="2"/>
    <x v="0"/>
    <x v="0"/>
    <x v="9"/>
    <x v="3"/>
    <n v="4"/>
    <x v="1"/>
  </r>
  <r>
    <s v="TX500411"/>
    <x v="9"/>
    <x v="21"/>
    <n v="35.299999999999997"/>
    <n v="494.19999999999993"/>
    <x v="18"/>
    <d v="2025-01-22T00:00:00"/>
    <s v="F"/>
    <x v="4"/>
    <x v="1"/>
    <x v="0"/>
    <x v="11"/>
    <x v="2"/>
    <n v="4"/>
    <x v="2"/>
  </r>
  <r>
    <s v="TX500412"/>
    <x v="0"/>
    <x v="1"/>
    <n v="16.100000000000001"/>
    <n v="32.200000000000003"/>
    <x v="18"/>
    <d v="2025-01-21T00:00:00"/>
    <s v="M"/>
    <x v="3"/>
    <x v="2"/>
    <x v="0"/>
    <x v="32"/>
    <x v="1"/>
    <n v="4"/>
    <x v="1"/>
  </r>
  <r>
    <s v="TX500413"/>
    <x v="4"/>
    <x v="1"/>
    <n v="27.9"/>
    <n v="55.8"/>
    <x v="18"/>
    <d v="2025-01-22T00:00:00"/>
    <s v="M"/>
    <x v="0"/>
    <x v="0"/>
    <x v="0"/>
    <x v="13"/>
    <x v="2"/>
    <n v="4"/>
    <x v="1"/>
  </r>
  <r>
    <s v="TX500414"/>
    <x v="8"/>
    <x v="0"/>
    <n v="47.1"/>
    <n v="47.1"/>
    <x v="18"/>
    <d v="2025-01-27T00:00:00"/>
    <s v="F"/>
    <x v="1"/>
    <x v="0"/>
    <x v="0"/>
    <x v="2"/>
    <x v="9"/>
    <n v="4"/>
    <x v="2"/>
  </r>
  <r>
    <s v="TX500415"/>
    <x v="6"/>
    <x v="1"/>
    <n v="85"/>
    <n v="170"/>
    <x v="18"/>
    <d v="2025-01-22T00:00:00"/>
    <s v=""/>
    <x v="2"/>
    <x v="2"/>
    <x v="0"/>
    <x v="22"/>
    <x v="2"/>
    <n v="4"/>
    <x v="0"/>
  </r>
  <r>
    <s v="TX500416"/>
    <x v="18"/>
    <x v="1"/>
    <n v="89"/>
    <n v="178"/>
    <x v="18"/>
    <d v="2025-01-21T00:00:00"/>
    <s v="F"/>
    <x v="0"/>
    <x v="0"/>
    <x v="0"/>
    <x v="3"/>
    <x v="1"/>
    <n v="4"/>
    <x v="2"/>
  </r>
  <r>
    <s v="TX500417"/>
    <x v="16"/>
    <x v="2"/>
    <n v="36.6"/>
    <n v="109.80000000000001"/>
    <x v="18"/>
    <d v="2025-01-20T00:00:00"/>
    <s v="O"/>
    <x v="3"/>
    <x v="2"/>
    <x v="0"/>
    <x v="3"/>
    <x v="3"/>
    <n v="4"/>
    <x v="3"/>
  </r>
  <r>
    <s v="TX500418"/>
    <x v="6"/>
    <x v="3"/>
    <n v="43.5"/>
    <n v="304.5"/>
    <x v="18"/>
    <d v="2025-01-20T00:00:00"/>
    <s v="M"/>
    <x v="1"/>
    <x v="2"/>
    <x v="0"/>
    <x v="3"/>
    <x v="3"/>
    <n v="4"/>
    <x v="1"/>
  </r>
  <r>
    <s v="TX500419"/>
    <x v="9"/>
    <x v="10"/>
    <n v="30.5"/>
    <n v="579.5"/>
    <x v="18"/>
    <d v="2025-01-19T00:00:00"/>
    <s v="F"/>
    <x v="3"/>
    <x v="0"/>
    <x v="0"/>
    <x v="3"/>
    <x v="7"/>
    <n v="4"/>
    <x v="2"/>
  </r>
  <r>
    <s v="TX500420"/>
    <x v="1"/>
    <x v="1"/>
    <n v="107.7"/>
    <n v="215.4"/>
    <x v="18"/>
    <d v="2025-01-23T00:00:00"/>
    <s v="M"/>
    <x v="3"/>
    <x v="4"/>
    <x v="0"/>
    <x v="3"/>
    <x v="5"/>
    <n v="4"/>
    <x v="1"/>
  </r>
  <r>
    <s v="TX500421"/>
    <x v="17"/>
    <x v="18"/>
    <n v="57.1"/>
    <n v="1484.6000000000001"/>
    <x v="18"/>
    <d v="2025-01-20T00:00:00"/>
    <s v="M"/>
    <x v="1"/>
    <x v="0"/>
    <x v="0"/>
    <x v="3"/>
    <x v="3"/>
    <n v="4"/>
    <x v="1"/>
  </r>
  <r>
    <s v="TX500422"/>
    <x v="2"/>
    <x v="7"/>
    <n v="111.7"/>
    <n v="1117"/>
    <x v="18"/>
    <d v="2025-01-20T00:00:00"/>
    <s v="F"/>
    <x v="4"/>
    <x v="2"/>
    <x v="0"/>
    <x v="3"/>
    <x v="3"/>
    <n v="4"/>
    <x v="2"/>
  </r>
  <r>
    <s v="TX500423"/>
    <x v="18"/>
    <x v="3"/>
    <n v="44.3"/>
    <n v="310.09999999999997"/>
    <x v="18"/>
    <d v="2025-01-22T00:00:00"/>
    <s v="M"/>
    <x v="3"/>
    <x v="2"/>
    <x v="0"/>
    <x v="3"/>
    <x v="2"/>
    <n v="4"/>
    <x v="1"/>
  </r>
  <r>
    <s v="TX500424"/>
    <x v="2"/>
    <x v="8"/>
    <n v="95.8"/>
    <n v="766.4"/>
    <x v="18"/>
    <d v="2025-01-25T00:00:00"/>
    <s v="O"/>
    <x v="0"/>
    <x v="0"/>
    <x v="0"/>
    <x v="3"/>
    <x v="4"/>
    <n v="4"/>
    <x v="3"/>
  </r>
  <r>
    <s v="TX500425"/>
    <x v="10"/>
    <x v="3"/>
    <n v="22.6"/>
    <n v="158.20000000000002"/>
    <x v="18"/>
    <d v="2025-01-22T00:00:00"/>
    <s v="F"/>
    <x v="3"/>
    <x v="1"/>
    <x v="0"/>
    <x v="3"/>
    <x v="2"/>
    <n v="4"/>
    <x v="2"/>
  </r>
  <r>
    <s v="TX500426"/>
    <x v="8"/>
    <x v="8"/>
    <n v="25.6"/>
    <n v="204.8"/>
    <x v="18"/>
    <d v="2025-01-21T00:00:00"/>
    <s v="F"/>
    <x v="4"/>
    <x v="0"/>
    <x v="0"/>
    <x v="3"/>
    <x v="1"/>
    <n v="4"/>
    <x v="2"/>
  </r>
  <r>
    <s v="TX500427"/>
    <x v="6"/>
    <x v="27"/>
    <n v="54.3"/>
    <n v="868.8"/>
    <x v="18"/>
    <d v="2025-01-22T00:00:00"/>
    <s v="F"/>
    <x v="4"/>
    <x v="0"/>
    <x v="0"/>
    <x v="3"/>
    <x v="2"/>
    <n v="4"/>
    <x v="2"/>
  </r>
  <r>
    <s v="TX500428"/>
    <x v="18"/>
    <x v="15"/>
    <n v="51.3"/>
    <n v="666.9"/>
    <x v="18"/>
    <d v="2025-01-21T00:00:00"/>
    <s v="M"/>
    <x v="0"/>
    <x v="2"/>
    <x v="0"/>
    <x v="3"/>
    <x v="1"/>
    <n v="4"/>
    <x v="1"/>
  </r>
  <r>
    <s v="TX500429"/>
    <x v="0"/>
    <x v="8"/>
    <n v="25.6"/>
    <n v="204.8"/>
    <x v="18"/>
    <d v="2025-01-20T00:00:00"/>
    <s v="F"/>
    <x v="1"/>
    <x v="1"/>
    <x v="0"/>
    <x v="3"/>
    <x v="3"/>
    <n v="4"/>
    <x v="2"/>
  </r>
  <r>
    <s v="TX500430"/>
    <x v="0"/>
    <x v="1"/>
    <n v="15.6"/>
    <n v="31.2"/>
    <x v="18"/>
    <d v="2025-01-20T00:00:00"/>
    <s v="F"/>
    <x v="2"/>
    <x v="2"/>
    <x v="0"/>
    <x v="3"/>
    <x v="3"/>
    <n v="4"/>
    <x v="2"/>
  </r>
  <r>
    <s v="TX500431"/>
    <x v="8"/>
    <x v="2"/>
    <n v="30.3"/>
    <n v="90.9"/>
    <x v="18"/>
    <d v="2025-01-23T00:00:00"/>
    <s v="F"/>
    <x v="0"/>
    <x v="1"/>
    <x v="0"/>
    <x v="3"/>
    <x v="5"/>
    <n v="4"/>
    <x v="2"/>
  </r>
  <r>
    <s v="TX500432"/>
    <x v="12"/>
    <x v="1"/>
    <n v="30.3"/>
    <n v="60.6"/>
    <x v="18"/>
    <d v="2025-01-24T00:00:00"/>
    <s v="F"/>
    <x v="0"/>
    <x v="2"/>
    <x v="0"/>
    <x v="37"/>
    <x v="0"/>
    <n v="4"/>
    <x v="2"/>
  </r>
  <r>
    <s v="TX500433"/>
    <x v="10"/>
    <x v="2"/>
    <n v="53"/>
    <n v="159"/>
    <x v="18"/>
    <d v="2025-01-26T00:00:00"/>
    <s v="F"/>
    <x v="2"/>
    <x v="0"/>
    <x v="0"/>
    <x v="24"/>
    <x v="6"/>
    <n v="4"/>
    <x v="2"/>
  </r>
  <r>
    <s v="TX500434"/>
    <x v="5"/>
    <x v="16"/>
    <n v="59.9"/>
    <n v="1078.2"/>
    <x v="18"/>
    <d v="2025-01-22T00:00:00"/>
    <s v="M"/>
    <x v="2"/>
    <x v="4"/>
    <x v="0"/>
    <x v="25"/>
    <x v="2"/>
    <n v="4"/>
    <x v="1"/>
  </r>
  <r>
    <s v="TX500435"/>
    <x v="9"/>
    <x v="1"/>
    <n v="45.7"/>
    <n v="91.4"/>
    <x v="18"/>
    <d v="2025-01-20T00:00:00"/>
    <s v="F"/>
    <x v="1"/>
    <x v="2"/>
    <x v="0"/>
    <x v="6"/>
    <x v="3"/>
    <n v="4"/>
    <x v="2"/>
  </r>
  <r>
    <s v="TX500436"/>
    <x v="8"/>
    <x v="12"/>
    <n v="46.1"/>
    <n v="184.4"/>
    <x v="18"/>
    <d v="2025-01-20T00:00:00"/>
    <s v="M"/>
    <x v="0"/>
    <x v="0"/>
    <x v="0"/>
    <x v="6"/>
    <x v="3"/>
    <n v="4"/>
    <x v="1"/>
  </r>
  <r>
    <s v="TX500437"/>
    <x v="8"/>
    <x v="2"/>
    <n v="17.5"/>
    <n v="52.5"/>
    <x v="18"/>
    <d v="2025-01-20T00:00:00"/>
    <s v="F"/>
    <x v="0"/>
    <x v="2"/>
    <x v="0"/>
    <x v="8"/>
    <x v="3"/>
    <n v="4"/>
    <x v="2"/>
  </r>
  <r>
    <s v="TX500438"/>
    <x v="10"/>
    <x v="2"/>
    <n v="36.5"/>
    <n v="109.5"/>
    <x v="18"/>
    <d v="2025-01-30T00:00:00"/>
    <s v="M"/>
    <x v="2"/>
    <x v="0"/>
    <x v="0"/>
    <x v="8"/>
    <x v="11"/>
    <n v="4"/>
    <x v="1"/>
  </r>
  <r>
    <s v="TX500439"/>
    <x v="8"/>
    <x v="1"/>
    <n v="47.5"/>
    <n v="95"/>
    <x v="19"/>
    <d v="2025-01-22T00:00:00"/>
    <s v="F"/>
    <x v="1"/>
    <x v="0"/>
    <x v="0"/>
    <x v="8"/>
    <x v="1"/>
    <n v="4"/>
    <x v="2"/>
  </r>
  <r>
    <s v="TX500440"/>
    <x v="6"/>
    <x v="9"/>
    <n v="45.6"/>
    <n v="228"/>
    <x v="19"/>
    <d v="2025-01-22T00:00:00"/>
    <s v="F"/>
    <x v="0"/>
    <x v="2"/>
    <x v="0"/>
    <x v="8"/>
    <x v="1"/>
    <n v="4"/>
    <x v="2"/>
  </r>
  <r>
    <s v="TX500441"/>
    <x v="9"/>
    <x v="1"/>
    <n v="50.5"/>
    <n v="101"/>
    <x v="19"/>
    <d v="2025-01-22T00:00:00"/>
    <s v="M"/>
    <x v="0"/>
    <x v="1"/>
    <x v="0"/>
    <x v="17"/>
    <x v="1"/>
    <n v="4"/>
    <x v="1"/>
  </r>
  <r>
    <s v="TX500442"/>
    <x v="2"/>
    <x v="7"/>
    <n v="99.8"/>
    <n v="998"/>
    <x v="19"/>
    <d v="2025-01-23T00:00:00"/>
    <s v="F"/>
    <x v="2"/>
    <x v="1"/>
    <x v="0"/>
    <x v="17"/>
    <x v="2"/>
    <n v="4"/>
    <x v="2"/>
  </r>
  <r>
    <s v="TX500443"/>
    <x v="8"/>
    <x v="20"/>
    <n v="19.2"/>
    <n v="288"/>
    <x v="19"/>
    <d v="2025-01-22T00:00:00"/>
    <s v="O"/>
    <x v="4"/>
    <x v="1"/>
    <x v="0"/>
    <x v="26"/>
    <x v="1"/>
    <n v="4"/>
    <x v="3"/>
  </r>
  <r>
    <s v="TX500444"/>
    <x v="17"/>
    <x v="2"/>
    <n v="22.6"/>
    <n v="67.800000000000011"/>
    <x v="19"/>
    <d v="2025-01-21T00:00:00"/>
    <s v="M"/>
    <x v="1"/>
    <x v="0"/>
    <x v="0"/>
    <x v="11"/>
    <x v="3"/>
    <n v="4"/>
    <x v="1"/>
  </r>
  <r>
    <s v="TX500445"/>
    <x v="1"/>
    <x v="20"/>
    <n v="126.9"/>
    <n v="1903.5"/>
    <x v="19"/>
    <d v="2025-01-22T00:00:00"/>
    <s v="F"/>
    <x v="0"/>
    <x v="2"/>
    <x v="0"/>
    <x v="11"/>
    <x v="1"/>
    <n v="4"/>
    <x v="2"/>
  </r>
  <r>
    <s v="TX500446"/>
    <x v="2"/>
    <x v="1"/>
    <n v="100.3"/>
    <n v="200.6"/>
    <x v="19"/>
    <d v="2025-01-21T00:00:00"/>
    <s v="F"/>
    <x v="0"/>
    <x v="1"/>
    <x v="0"/>
    <x v="11"/>
    <x v="3"/>
    <n v="4"/>
    <x v="2"/>
  </r>
  <r>
    <s v="TX500447"/>
    <x v="4"/>
    <x v="16"/>
    <n v="24.6"/>
    <n v="442.8"/>
    <x v="19"/>
    <d v="2025-01-21T00:00:00"/>
    <s v="F"/>
    <x v="4"/>
    <x v="0"/>
    <x v="0"/>
    <x v="13"/>
    <x v="3"/>
    <n v="4"/>
    <x v="2"/>
  </r>
  <r>
    <s v="TX500448"/>
    <x v="6"/>
    <x v="1"/>
    <n v="47.3"/>
    <n v="94.6"/>
    <x v="19"/>
    <d v="2025-01-21T00:00:00"/>
    <s v="M"/>
    <x v="1"/>
    <x v="2"/>
    <x v="0"/>
    <x v="13"/>
    <x v="3"/>
    <n v="4"/>
    <x v="1"/>
  </r>
  <r>
    <s v="TX500449"/>
    <x v="6"/>
    <x v="3"/>
    <n v="40.799999999999997"/>
    <n v="285.59999999999997"/>
    <x v="19"/>
    <d v="2025-01-23T00:00:00"/>
    <s v="F"/>
    <x v="2"/>
    <x v="2"/>
    <x v="0"/>
    <x v="21"/>
    <x v="2"/>
    <n v="4"/>
    <x v="2"/>
  </r>
  <r>
    <s v="TX500450"/>
    <x v="8"/>
    <x v="8"/>
    <n v="49.2"/>
    <n v="393.6"/>
    <x v="19"/>
    <d v="2025-01-22T00:00:00"/>
    <s v="F"/>
    <x v="0"/>
    <x v="0"/>
    <x v="0"/>
    <x v="1"/>
    <x v="1"/>
    <n v="4"/>
    <x v="2"/>
  </r>
  <r>
    <s v="TX500451"/>
    <x v="8"/>
    <x v="0"/>
    <n v="28.5"/>
    <n v="28.5"/>
    <x v="19"/>
    <d v="2025-01-22T00:00:00"/>
    <s v=""/>
    <x v="2"/>
    <x v="1"/>
    <x v="0"/>
    <x v="3"/>
    <x v="1"/>
    <n v="4"/>
    <x v="0"/>
  </r>
  <r>
    <s v="TX500452"/>
    <x v="18"/>
    <x v="1"/>
    <n v="36.799999999999997"/>
    <n v="73.599999999999994"/>
    <x v="19"/>
    <d v="2025-01-26T00:00:00"/>
    <s v="F"/>
    <x v="0"/>
    <x v="2"/>
    <x v="0"/>
    <x v="3"/>
    <x v="4"/>
    <n v="4"/>
    <x v="2"/>
  </r>
  <r>
    <s v="TX500453"/>
    <x v="7"/>
    <x v="2"/>
    <n v="33.5"/>
    <n v="100.5"/>
    <x v="19"/>
    <d v="2025-01-21T00:00:00"/>
    <s v="F"/>
    <x v="0"/>
    <x v="1"/>
    <x v="0"/>
    <x v="3"/>
    <x v="3"/>
    <n v="4"/>
    <x v="2"/>
  </r>
  <r>
    <s v="TX500454"/>
    <x v="6"/>
    <x v="13"/>
    <n v="62.5"/>
    <n v="375"/>
    <x v="19"/>
    <d v="2025-01-22T00:00:00"/>
    <s v="F"/>
    <x v="0"/>
    <x v="0"/>
    <x v="0"/>
    <x v="3"/>
    <x v="1"/>
    <n v="4"/>
    <x v="2"/>
  </r>
  <r>
    <s v="TX500455"/>
    <x v="8"/>
    <x v="29"/>
    <n v="47.9"/>
    <n v="1916"/>
    <x v="19"/>
    <d v="2025-01-21T00:00:00"/>
    <s v="F"/>
    <x v="3"/>
    <x v="0"/>
    <x v="0"/>
    <x v="3"/>
    <x v="3"/>
    <n v="4"/>
    <x v="2"/>
  </r>
  <r>
    <s v="TX500456"/>
    <x v="6"/>
    <x v="13"/>
    <n v="92.9"/>
    <n v="557.40000000000009"/>
    <x v="19"/>
    <d v="2025-01-31T00:00:00"/>
    <s v="F"/>
    <x v="0"/>
    <x v="4"/>
    <x v="0"/>
    <x v="3"/>
    <x v="11"/>
    <n v="4"/>
    <x v="2"/>
  </r>
  <r>
    <s v="TX500457"/>
    <x v="12"/>
    <x v="2"/>
    <n v="44.1"/>
    <n v="132.30000000000001"/>
    <x v="19"/>
    <d v="2025-01-20T00:00:00"/>
    <s v="F"/>
    <x v="1"/>
    <x v="1"/>
    <x v="0"/>
    <x v="43"/>
    <x v="7"/>
    <n v="4"/>
    <x v="2"/>
  </r>
  <r>
    <s v="TX500458"/>
    <x v="0"/>
    <x v="0"/>
    <n v="11.4"/>
    <n v="11.4"/>
    <x v="20"/>
    <d v="2025-01-23T00:00:00"/>
    <s v="F"/>
    <x v="2"/>
    <x v="0"/>
    <x v="0"/>
    <x v="5"/>
    <x v="1"/>
    <n v="4"/>
    <x v="2"/>
  </r>
  <r>
    <s v="TX500459"/>
    <x v="6"/>
    <x v="0"/>
    <n v="83.7"/>
    <n v="83.7"/>
    <x v="20"/>
    <d v="2025-01-23T00:00:00"/>
    <s v="F"/>
    <x v="0"/>
    <x v="2"/>
    <x v="0"/>
    <x v="6"/>
    <x v="1"/>
    <n v="4"/>
    <x v="2"/>
  </r>
  <r>
    <s v="TX500460"/>
    <x v="10"/>
    <x v="1"/>
    <n v="23.2"/>
    <n v="46.4"/>
    <x v="20"/>
    <d v="2025-01-22T00:00:00"/>
    <s v="M"/>
    <x v="2"/>
    <x v="0"/>
    <x v="0"/>
    <x v="8"/>
    <x v="3"/>
    <n v="4"/>
    <x v="1"/>
  </r>
  <r>
    <s v="TX500461"/>
    <x v="2"/>
    <x v="0"/>
    <n v="162.1"/>
    <n v="162.1"/>
    <x v="20"/>
    <d v="2025-01-24T00:00:00"/>
    <s v="F"/>
    <x v="0"/>
    <x v="2"/>
    <x v="0"/>
    <x v="9"/>
    <x v="2"/>
    <n v="4"/>
    <x v="2"/>
  </r>
  <r>
    <s v="TX500462"/>
    <x v="6"/>
    <x v="12"/>
    <n v="49.2"/>
    <n v="196.8"/>
    <x v="20"/>
    <d v="2025-01-25T00:00:00"/>
    <s v="M"/>
    <x v="1"/>
    <x v="0"/>
    <x v="0"/>
    <x v="9"/>
    <x v="5"/>
    <n v="4"/>
    <x v="1"/>
  </r>
  <r>
    <s v="TX500463"/>
    <x v="1"/>
    <x v="1"/>
    <n v="61"/>
    <n v="122"/>
    <x v="20"/>
    <d v="2025-01-22T00:00:00"/>
    <s v="M"/>
    <x v="3"/>
    <x v="0"/>
    <x v="0"/>
    <x v="10"/>
    <x v="3"/>
    <n v="4"/>
    <x v="1"/>
  </r>
  <r>
    <s v="TX500464"/>
    <x v="2"/>
    <x v="7"/>
    <n v="53.1"/>
    <n v="531"/>
    <x v="20"/>
    <d v="2025-01-23T00:00:00"/>
    <s v="M"/>
    <x v="0"/>
    <x v="0"/>
    <x v="0"/>
    <x v="11"/>
    <x v="1"/>
    <n v="4"/>
    <x v="1"/>
  </r>
  <r>
    <s v="TX500465"/>
    <x v="4"/>
    <x v="1"/>
    <n v="22.4"/>
    <n v="44.8"/>
    <x v="20"/>
    <d v="2025-01-23T00:00:00"/>
    <s v=""/>
    <x v="1"/>
    <x v="2"/>
    <x v="0"/>
    <x v="13"/>
    <x v="1"/>
    <n v="4"/>
    <x v="0"/>
  </r>
  <r>
    <s v="TX500466"/>
    <x v="1"/>
    <x v="9"/>
    <n v="75.3"/>
    <n v="376.5"/>
    <x v="20"/>
    <d v="2025-01-22T00:00:00"/>
    <s v="M"/>
    <x v="0"/>
    <x v="0"/>
    <x v="0"/>
    <x v="21"/>
    <x v="3"/>
    <n v="4"/>
    <x v="1"/>
  </r>
  <r>
    <s v="TX500467"/>
    <x v="6"/>
    <x v="0"/>
    <n v="48.5"/>
    <n v="48.5"/>
    <x v="20"/>
    <d v="2025-01-22T00:00:00"/>
    <s v="F"/>
    <x v="0"/>
    <x v="1"/>
    <x v="0"/>
    <x v="21"/>
    <x v="3"/>
    <n v="4"/>
    <x v="2"/>
  </r>
  <r>
    <s v="TX500468"/>
    <x v="6"/>
    <x v="0"/>
    <n v="42.6"/>
    <n v="42.6"/>
    <x v="20"/>
    <d v="2025-01-25T00:00:00"/>
    <s v="F"/>
    <x v="3"/>
    <x v="0"/>
    <x v="0"/>
    <x v="1"/>
    <x v="5"/>
    <n v="4"/>
    <x v="2"/>
  </r>
  <r>
    <s v="TX500469"/>
    <x v="5"/>
    <x v="9"/>
    <n v="49"/>
    <n v="245"/>
    <x v="20"/>
    <d v="2025-01-22T00:00:00"/>
    <s v="M"/>
    <x v="0"/>
    <x v="0"/>
    <x v="0"/>
    <x v="22"/>
    <x v="3"/>
    <n v="4"/>
    <x v="1"/>
  </r>
  <r>
    <s v="TX500470"/>
    <x v="8"/>
    <x v="2"/>
    <n v="31.3"/>
    <n v="93.9"/>
    <x v="20"/>
    <d v="2025-01-22T00:00:00"/>
    <s v="M"/>
    <x v="2"/>
    <x v="1"/>
    <x v="0"/>
    <x v="3"/>
    <x v="3"/>
    <n v="4"/>
    <x v="1"/>
  </r>
  <r>
    <s v="TX500471"/>
    <x v="2"/>
    <x v="1"/>
    <n v="85.4"/>
    <n v="170.8"/>
    <x v="20"/>
    <d v="2025-01-22T00:00:00"/>
    <s v="F"/>
    <x v="2"/>
    <x v="0"/>
    <x v="0"/>
    <x v="3"/>
    <x v="3"/>
    <n v="4"/>
    <x v="2"/>
  </r>
  <r>
    <s v="TX500472"/>
    <x v="8"/>
    <x v="12"/>
    <n v="40"/>
    <n v="160"/>
    <x v="20"/>
    <d v="2025-01-22T00:00:00"/>
    <s v="O"/>
    <x v="0"/>
    <x v="2"/>
    <x v="0"/>
    <x v="3"/>
    <x v="3"/>
    <n v="4"/>
    <x v="3"/>
  </r>
  <r>
    <s v="TX500473"/>
    <x v="5"/>
    <x v="1"/>
    <n v="38.5"/>
    <n v="77"/>
    <x v="20"/>
    <d v="2025-01-24T00:00:00"/>
    <s v="M"/>
    <x v="1"/>
    <x v="2"/>
    <x v="0"/>
    <x v="3"/>
    <x v="2"/>
    <n v="4"/>
    <x v="1"/>
  </r>
  <r>
    <s v="TX500474"/>
    <x v="2"/>
    <x v="1"/>
    <n v="57.8"/>
    <n v="115.6"/>
    <x v="20"/>
    <d v="2025-01-22T00:00:00"/>
    <s v=""/>
    <x v="0"/>
    <x v="0"/>
    <x v="0"/>
    <x v="3"/>
    <x v="3"/>
    <n v="4"/>
    <x v="0"/>
  </r>
  <r>
    <s v="TX500475"/>
    <x v="8"/>
    <x v="0"/>
    <n v="19.2"/>
    <n v="19.2"/>
    <x v="20"/>
    <d v="2025-01-22T00:00:00"/>
    <s v="F"/>
    <x v="0"/>
    <x v="4"/>
    <x v="0"/>
    <x v="3"/>
    <x v="3"/>
    <n v="4"/>
    <x v="2"/>
  </r>
  <r>
    <s v="TX500476"/>
    <x v="6"/>
    <x v="13"/>
    <n v="114.8"/>
    <n v="688.8"/>
    <x v="20"/>
    <d v="2025-01-24T00:00:00"/>
    <s v="M"/>
    <x v="1"/>
    <x v="1"/>
    <x v="0"/>
    <x v="3"/>
    <x v="2"/>
    <n v="4"/>
    <x v="1"/>
  </r>
  <r>
    <s v="TX500477"/>
    <x v="10"/>
    <x v="3"/>
    <n v="48.4"/>
    <n v="338.8"/>
    <x v="20"/>
    <d v="2025-01-24T00:00:00"/>
    <s v="F"/>
    <x v="3"/>
    <x v="1"/>
    <x v="0"/>
    <x v="3"/>
    <x v="2"/>
    <n v="4"/>
    <x v="2"/>
  </r>
  <r>
    <s v="TX500478"/>
    <x v="9"/>
    <x v="9"/>
    <n v="73.2"/>
    <n v="366"/>
    <x v="20"/>
    <d v="2025-01-22T00:00:00"/>
    <s v="F"/>
    <x v="1"/>
    <x v="4"/>
    <x v="0"/>
    <x v="3"/>
    <x v="3"/>
    <n v="4"/>
    <x v="2"/>
  </r>
  <r>
    <s v="TX500479"/>
    <x v="15"/>
    <x v="1"/>
    <n v="48.6"/>
    <n v="97.2"/>
    <x v="20"/>
    <d v="2025-01-25T00:00:00"/>
    <s v="F"/>
    <x v="3"/>
    <x v="0"/>
    <x v="0"/>
    <x v="3"/>
    <x v="5"/>
    <n v="4"/>
    <x v="2"/>
  </r>
  <r>
    <s v="TX500480"/>
    <x v="0"/>
    <x v="13"/>
    <n v="48.7"/>
    <n v="292.20000000000005"/>
    <x v="20"/>
    <d v="2025-01-22T00:00:00"/>
    <s v="M"/>
    <x v="0"/>
    <x v="0"/>
    <x v="0"/>
    <x v="3"/>
    <x v="3"/>
    <n v="4"/>
    <x v="1"/>
  </r>
  <r>
    <s v="TX500481"/>
    <x v="4"/>
    <x v="1"/>
    <n v="32.200000000000003"/>
    <n v="64.400000000000006"/>
    <x v="20"/>
    <d v="2025-01-24T00:00:00"/>
    <s v="M"/>
    <x v="2"/>
    <x v="2"/>
    <x v="0"/>
    <x v="3"/>
    <x v="2"/>
    <n v="4"/>
    <x v="1"/>
  </r>
  <r>
    <s v="TX500482"/>
    <x v="15"/>
    <x v="8"/>
    <n v="25.8"/>
    <n v="206.4"/>
    <x v="20"/>
    <d v="2025-01-22T00:00:00"/>
    <s v="M"/>
    <x v="0"/>
    <x v="0"/>
    <x v="0"/>
    <x v="37"/>
    <x v="3"/>
    <n v="4"/>
    <x v="1"/>
  </r>
  <r>
    <s v="TX500483"/>
    <x v="6"/>
    <x v="1"/>
    <n v="94.8"/>
    <n v="189.6"/>
    <x v="21"/>
    <d v="2025-01-25T00:00:00"/>
    <s v="F"/>
    <x v="1"/>
    <x v="1"/>
    <x v="0"/>
    <x v="25"/>
    <x v="2"/>
    <n v="4"/>
    <x v="2"/>
  </r>
  <r>
    <s v="TX500484"/>
    <x v="15"/>
    <x v="30"/>
    <n v="56.8"/>
    <n v="1420"/>
    <x v="21"/>
    <d v="2025-01-25T00:00:00"/>
    <s v="M"/>
    <x v="0"/>
    <x v="0"/>
    <x v="0"/>
    <x v="25"/>
    <x v="2"/>
    <n v="4"/>
    <x v="1"/>
  </r>
  <r>
    <s v="TX500485"/>
    <x v="8"/>
    <x v="27"/>
    <n v="18.3"/>
    <n v="292.8"/>
    <x v="21"/>
    <d v="2025-01-29T00:00:00"/>
    <s v="F"/>
    <x v="2"/>
    <x v="2"/>
    <x v="0"/>
    <x v="23"/>
    <x v="6"/>
    <n v="4"/>
    <x v="2"/>
  </r>
  <r>
    <s v="TX500486"/>
    <x v="0"/>
    <x v="2"/>
    <n v="16.8"/>
    <n v="50.400000000000006"/>
    <x v="21"/>
    <d v="2025-01-27T00:00:00"/>
    <s v="F"/>
    <x v="2"/>
    <x v="2"/>
    <x v="0"/>
    <x v="8"/>
    <x v="0"/>
    <n v="4"/>
    <x v="2"/>
  </r>
  <r>
    <s v="TX500487"/>
    <x v="5"/>
    <x v="5"/>
    <n v="35.799999999999997"/>
    <n v="393.79999999999995"/>
    <x v="21"/>
    <d v="2025-01-23T00:00:00"/>
    <s v="M"/>
    <x v="1"/>
    <x v="0"/>
    <x v="0"/>
    <x v="17"/>
    <x v="3"/>
    <n v="4"/>
    <x v="1"/>
  </r>
  <r>
    <s v="TX500488"/>
    <x v="18"/>
    <x v="0"/>
    <n v="64.900000000000006"/>
    <n v="64.900000000000006"/>
    <x v="21"/>
    <d v="2025-01-23T00:00:00"/>
    <s v="M"/>
    <x v="0"/>
    <x v="1"/>
    <x v="0"/>
    <x v="17"/>
    <x v="3"/>
    <n v="4"/>
    <x v="1"/>
  </r>
  <r>
    <s v="TX500489"/>
    <x v="18"/>
    <x v="0"/>
    <n v="28.5"/>
    <n v="28.5"/>
    <x v="21"/>
    <d v="2025-01-24T00:00:00"/>
    <s v=""/>
    <x v="1"/>
    <x v="0"/>
    <x v="0"/>
    <x v="9"/>
    <x v="1"/>
    <n v="4"/>
    <x v="0"/>
  </r>
  <r>
    <s v="TX500490"/>
    <x v="18"/>
    <x v="1"/>
    <n v="103.5"/>
    <n v="207"/>
    <x v="21"/>
    <d v="2025-01-24T00:00:00"/>
    <s v="F"/>
    <x v="1"/>
    <x v="0"/>
    <x v="0"/>
    <x v="10"/>
    <x v="1"/>
    <n v="4"/>
    <x v="2"/>
  </r>
  <r>
    <s v="TX500491"/>
    <x v="4"/>
    <x v="1"/>
    <n v="41.2"/>
    <n v="82.4"/>
    <x v="21"/>
    <d v="2025-01-23T00:00:00"/>
    <s v="F"/>
    <x v="1"/>
    <x v="0"/>
    <x v="0"/>
    <x v="10"/>
    <x v="3"/>
    <n v="4"/>
    <x v="2"/>
  </r>
  <r>
    <s v="TX500492"/>
    <x v="9"/>
    <x v="0"/>
    <n v="37.799999999999997"/>
    <n v="37.799999999999997"/>
    <x v="21"/>
    <d v="2025-01-24T00:00:00"/>
    <s v="F"/>
    <x v="3"/>
    <x v="3"/>
    <x v="0"/>
    <x v="11"/>
    <x v="1"/>
    <n v="4"/>
    <x v="2"/>
  </r>
  <r>
    <s v="TX500493"/>
    <x v="8"/>
    <x v="1"/>
    <n v="42.6"/>
    <n v="85.2"/>
    <x v="21"/>
    <d v="2025-01-24T00:00:00"/>
    <s v="F"/>
    <x v="4"/>
    <x v="0"/>
    <x v="0"/>
    <x v="11"/>
    <x v="1"/>
    <n v="4"/>
    <x v="2"/>
  </r>
  <r>
    <s v="TX500494"/>
    <x v="8"/>
    <x v="7"/>
    <n v="15.2"/>
    <n v="152"/>
    <x v="21"/>
    <d v="2025-01-24T00:00:00"/>
    <s v="F"/>
    <x v="2"/>
    <x v="0"/>
    <x v="0"/>
    <x v="11"/>
    <x v="1"/>
    <n v="4"/>
    <x v="2"/>
  </r>
  <r>
    <s v="TX500495"/>
    <x v="7"/>
    <x v="12"/>
    <n v="83.4"/>
    <n v="333.6"/>
    <x v="21"/>
    <d v="2025-01-23T00:00:00"/>
    <s v="F"/>
    <x v="2"/>
    <x v="1"/>
    <x v="0"/>
    <x v="18"/>
    <x v="3"/>
    <n v="4"/>
    <x v="2"/>
  </r>
  <r>
    <s v="TX500496"/>
    <x v="19"/>
    <x v="1"/>
    <n v="27.7"/>
    <n v="55.4"/>
    <x v="21"/>
    <d v="2025-01-23T00:00:00"/>
    <s v="F"/>
    <x v="0"/>
    <x v="1"/>
    <x v="0"/>
    <x v="13"/>
    <x v="3"/>
    <n v="4"/>
    <x v="2"/>
  </r>
  <r>
    <s v="TX500497"/>
    <x v="10"/>
    <x v="4"/>
    <n v="20.8"/>
    <n v="249.60000000000002"/>
    <x v="21"/>
    <d v="2025-01-23T00:00:00"/>
    <s v="M"/>
    <x v="3"/>
    <x v="0"/>
    <x v="0"/>
    <x v="13"/>
    <x v="3"/>
    <n v="4"/>
    <x v="1"/>
  </r>
  <r>
    <s v="TX500498"/>
    <x v="11"/>
    <x v="1"/>
    <n v="72.7"/>
    <n v="145.4"/>
    <x v="21"/>
    <d v="2025-01-26T00:00:00"/>
    <s v="F"/>
    <x v="4"/>
    <x v="2"/>
    <x v="0"/>
    <x v="44"/>
    <x v="5"/>
    <n v="4"/>
    <x v="2"/>
  </r>
  <r>
    <s v="TX500499"/>
    <x v="10"/>
    <x v="12"/>
    <n v="38.6"/>
    <n v="154.4"/>
    <x v="21"/>
    <d v="2025-01-23T00:00:00"/>
    <s v="M"/>
    <x v="0"/>
    <x v="2"/>
    <x v="0"/>
    <x v="22"/>
    <x v="3"/>
    <n v="4"/>
    <x v="1"/>
  </r>
  <r>
    <s v="TX500500"/>
    <x v="8"/>
    <x v="3"/>
    <n v="33.1"/>
    <n v="231.70000000000002"/>
    <x v="21"/>
    <d v="2025-01-23T00:00:00"/>
    <s v="O"/>
    <x v="4"/>
    <x v="3"/>
    <x v="0"/>
    <x v="3"/>
    <x v="3"/>
    <n v="4"/>
    <x v="3"/>
  </r>
  <r>
    <s v="TX500501"/>
    <x v="10"/>
    <x v="1"/>
    <n v="30.5"/>
    <n v="61"/>
    <x v="21"/>
    <d v="2025-01-22T00:00:00"/>
    <s v=""/>
    <x v="1"/>
    <x v="1"/>
    <x v="0"/>
    <x v="3"/>
    <x v="7"/>
    <n v="4"/>
    <x v="0"/>
  </r>
  <r>
    <s v="TX500502"/>
    <x v="9"/>
    <x v="1"/>
    <n v="69.599999999999994"/>
    <n v="139.19999999999999"/>
    <x v="21"/>
    <d v="2025-01-23T00:00:00"/>
    <s v="M"/>
    <x v="0"/>
    <x v="1"/>
    <x v="0"/>
    <x v="3"/>
    <x v="3"/>
    <n v="4"/>
    <x v="1"/>
  </r>
  <r>
    <s v="TX500503"/>
    <x v="11"/>
    <x v="0"/>
    <n v="42.4"/>
    <n v="42.4"/>
    <x v="21"/>
    <d v="2025-01-26T00:00:00"/>
    <s v="F"/>
    <x v="1"/>
    <x v="0"/>
    <x v="0"/>
    <x v="3"/>
    <x v="5"/>
    <n v="4"/>
    <x v="2"/>
  </r>
  <r>
    <s v="TX500504"/>
    <x v="17"/>
    <x v="0"/>
    <n v="32.200000000000003"/>
    <n v="32.200000000000003"/>
    <x v="21"/>
    <d v="2025-01-25T00:00:00"/>
    <s v="F"/>
    <x v="2"/>
    <x v="1"/>
    <x v="0"/>
    <x v="3"/>
    <x v="2"/>
    <n v="4"/>
    <x v="2"/>
  </r>
  <r>
    <s v="TX500505"/>
    <x v="6"/>
    <x v="1"/>
    <n v="41.5"/>
    <n v="83"/>
    <x v="21"/>
    <d v="2025-01-25T00:00:00"/>
    <s v="F"/>
    <x v="0"/>
    <x v="2"/>
    <x v="0"/>
    <x v="3"/>
    <x v="2"/>
    <n v="4"/>
    <x v="2"/>
  </r>
  <r>
    <s v="TX500506"/>
    <x v="16"/>
    <x v="11"/>
    <n v="58.9"/>
    <n v="530.1"/>
    <x v="21"/>
    <d v="2025-01-26T00:00:00"/>
    <s v="F"/>
    <x v="3"/>
    <x v="0"/>
    <x v="0"/>
    <x v="3"/>
    <x v="5"/>
    <n v="4"/>
    <x v="2"/>
  </r>
  <r>
    <s v="TX500507"/>
    <x v="2"/>
    <x v="0"/>
    <n v="57.1"/>
    <n v="57.1"/>
    <x v="21"/>
    <d v="2025-01-25T00:00:00"/>
    <s v="F"/>
    <x v="1"/>
    <x v="0"/>
    <x v="0"/>
    <x v="3"/>
    <x v="2"/>
    <n v="4"/>
    <x v="2"/>
  </r>
  <r>
    <s v="TX500508"/>
    <x v="6"/>
    <x v="0"/>
    <n v="57.2"/>
    <n v="57.2"/>
    <x v="21"/>
    <d v="2025-01-24T00:00:00"/>
    <s v="M"/>
    <x v="1"/>
    <x v="0"/>
    <x v="0"/>
    <x v="3"/>
    <x v="1"/>
    <n v="4"/>
    <x v="1"/>
  </r>
  <r>
    <s v="TX500509"/>
    <x v="8"/>
    <x v="1"/>
    <n v="35.1"/>
    <n v="70.2"/>
    <x v="21"/>
    <d v="2025-01-23T00:00:00"/>
    <s v="M"/>
    <x v="1"/>
    <x v="0"/>
    <x v="0"/>
    <x v="6"/>
    <x v="3"/>
    <n v="4"/>
    <x v="1"/>
  </r>
  <r>
    <s v="TX500510"/>
    <x v="1"/>
    <x v="0"/>
    <n v="52.1"/>
    <n v="52.1"/>
    <x v="21"/>
    <d v="2025-01-24T00:00:00"/>
    <s v="F"/>
    <x v="4"/>
    <x v="1"/>
    <x v="0"/>
    <x v="8"/>
    <x v="1"/>
    <n v="4"/>
    <x v="2"/>
  </r>
  <r>
    <s v="TX500511"/>
    <x v="13"/>
    <x v="2"/>
    <n v="59.8"/>
    <n v="179.39999999999998"/>
    <x v="21"/>
    <d v="2025-01-24T00:00:00"/>
    <s v="F"/>
    <x v="4"/>
    <x v="1"/>
    <x v="0"/>
    <x v="8"/>
    <x v="1"/>
    <n v="4"/>
    <x v="2"/>
  </r>
  <r>
    <s v="TX500512"/>
    <x v="3"/>
    <x v="12"/>
    <n v="83.3"/>
    <n v="333.2"/>
    <x v="21"/>
    <d v="2025-01-22T00:00:00"/>
    <s v=""/>
    <x v="2"/>
    <x v="0"/>
    <x v="0"/>
    <x v="8"/>
    <x v="7"/>
    <n v="4"/>
    <x v="0"/>
  </r>
  <r>
    <s v="TX500513"/>
    <x v="15"/>
    <x v="4"/>
    <n v="41.3"/>
    <n v="495.59999999999997"/>
    <x v="21"/>
    <d v="2025-01-23T00:00:00"/>
    <s v="F"/>
    <x v="1"/>
    <x v="0"/>
    <x v="0"/>
    <x v="8"/>
    <x v="3"/>
    <n v="4"/>
    <x v="2"/>
  </r>
  <r>
    <s v="TX500514"/>
    <x v="8"/>
    <x v="9"/>
    <n v="16"/>
    <n v="80"/>
    <x v="21"/>
    <d v="2025-01-24T00:00:00"/>
    <s v="M"/>
    <x v="4"/>
    <x v="1"/>
    <x v="0"/>
    <x v="9"/>
    <x v="1"/>
    <n v="4"/>
    <x v="1"/>
  </r>
  <r>
    <s v="TX500515"/>
    <x v="10"/>
    <x v="1"/>
    <n v="20.8"/>
    <n v="41.6"/>
    <x v="22"/>
    <d v="2025-01-25T00:00:00"/>
    <s v="M"/>
    <x v="0"/>
    <x v="2"/>
    <x v="0"/>
    <x v="11"/>
    <x v="1"/>
    <n v="4"/>
    <x v="1"/>
  </r>
  <r>
    <s v="TX500516"/>
    <x v="8"/>
    <x v="31"/>
    <n v="27.1"/>
    <n v="758.80000000000007"/>
    <x v="22"/>
    <d v="2025-01-24T00:00:00"/>
    <s v=""/>
    <x v="3"/>
    <x v="2"/>
    <x v="0"/>
    <x v="11"/>
    <x v="3"/>
    <n v="4"/>
    <x v="0"/>
  </r>
  <r>
    <s v="TX500517"/>
    <x v="10"/>
    <x v="1"/>
    <n v="38.9"/>
    <n v="77.8"/>
    <x v="22"/>
    <d v="2025-01-25T00:00:00"/>
    <s v="F"/>
    <x v="0"/>
    <x v="0"/>
    <x v="0"/>
    <x v="18"/>
    <x v="1"/>
    <n v="4"/>
    <x v="2"/>
  </r>
  <r>
    <s v="TX500518"/>
    <x v="0"/>
    <x v="1"/>
    <n v="10.8"/>
    <n v="21.6"/>
    <x v="22"/>
    <d v="2025-01-26T00:00:00"/>
    <s v="F"/>
    <x v="1"/>
    <x v="2"/>
    <x v="0"/>
    <x v="45"/>
    <x v="2"/>
    <n v="4"/>
    <x v="2"/>
  </r>
  <r>
    <s v="TX500519"/>
    <x v="4"/>
    <x v="15"/>
    <n v="48.4"/>
    <n v="629.19999999999993"/>
    <x v="22"/>
    <d v="2025-01-27T00:00:00"/>
    <s v="F"/>
    <x v="0"/>
    <x v="0"/>
    <x v="0"/>
    <x v="21"/>
    <x v="5"/>
    <n v="4"/>
    <x v="2"/>
  </r>
  <r>
    <s v="TX500520"/>
    <x v="4"/>
    <x v="2"/>
    <n v="29.2"/>
    <n v="87.6"/>
    <x v="22"/>
    <d v="2025-01-26T00:00:00"/>
    <s v="F"/>
    <x v="1"/>
    <x v="1"/>
    <x v="0"/>
    <x v="2"/>
    <x v="2"/>
    <n v="4"/>
    <x v="2"/>
  </r>
  <r>
    <s v="TX500521"/>
    <x v="4"/>
    <x v="1"/>
    <n v="25.1"/>
    <n v="50.2"/>
    <x v="22"/>
    <d v="2025-01-24T00:00:00"/>
    <s v="M"/>
    <x v="0"/>
    <x v="1"/>
    <x v="0"/>
    <x v="2"/>
    <x v="3"/>
    <n v="4"/>
    <x v="1"/>
  </r>
  <r>
    <s v="TX500522"/>
    <x v="7"/>
    <x v="2"/>
    <n v="65.599999999999994"/>
    <n v="196.79999999999998"/>
    <x v="22"/>
    <d v="2025-01-23T00:00:00"/>
    <s v="F"/>
    <x v="2"/>
    <x v="1"/>
    <x v="0"/>
    <x v="3"/>
    <x v="7"/>
    <n v="4"/>
    <x v="2"/>
  </r>
  <r>
    <s v="TX500523"/>
    <x v="2"/>
    <x v="1"/>
    <n v="57.3"/>
    <n v="114.6"/>
    <x v="22"/>
    <d v="2025-01-23T00:00:00"/>
    <s v=""/>
    <x v="0"/>
    <x v="0"/>
    <x v="0"/>
    <x v="3"/>
    <x v="7"/>
    <n v="4"/>
    <x v="0"/>
  </r>
  <r>
    <s v="TX500524"/>
    <x v="9"/>
    <x v="12"/>
    <n v="22.4"/>
    <n v="89.6"/>
    <x v="22"/>
    <d v="2025-01-24T00:00:00"/>
    <s v="F"/>
    <x v="2"/>
    <x v="2"/>
    <x v="0"/>
    <x v="3"/>
    <x v="3"/>
    <n v="4"/>
    <x v="2"/>
  </r>
  <r>
    <s v="TX500525"/>
    <x v="12"/>
    <x v="11"/>
    <n v="45.7"/>
    <n v="411.3"/>
    <x v="22"/>
    <d v="2025-01-24T00:00:00"/>
    <s v="F"/>
    <x v="0"/>
    <x v="0"/>
    <x v="0"/>
    <x v="3"/>
    <x v="3"/>
    <n v="4"/>
    <x v="2"/>
  </r>
  <r>
    <s v="TX500526"/>
    <x v="8"/>
    <x v="1"/>
    <n v="29.3"/>
    <n v="58.6"/>
    <x v="22"/>
    <d v="2025-01-24T00:00:00"/>
    <s v="M"/>
    <x v="1"/>
    <x v="0"/>
    <x v="0"/>
    <x v="3"/>
    <x v="3"/>
    <n v="4"/>
    <x v="1"/>
  </r>
  <r>
    <s v="TX500527"/>
    <x v="18"/>
    <x v="32"/>
    <n v="74"/>
    <n v="1628"/>
    <x v="22"/>
    <d v="2025-01-24T00:00:00"/>
    <s v="M"/>
    <x v="0"/>
    <x v="2"/>
    <x v="0"/>
    <x v="3"/>
    <x v="3"/>
    <n v="4"/>
    <x v="1"/>
  </r>
  <r>
    <s v="TX500528"/>
    <x v="14"/>
    <x v="1"/>
    <n v="39.200000000000003"/>
    <n v="78.400000000000006"/>
    <x v="22"/>
    <d v="2025-01-25T00:00:00"/>
    <s v="F"/>
    <x v="1"/>
    <x v="0"/>
    <x v="0"/>
    <x v="3"/>
    <x v="1"/>
    <n v="4"/>
    <x v="2"/>
  </r>
  <r>
    <s v="TX500529"/>
    <x v="4"/>
    <x v="14"/>
    <n v="62.7"/>
    <n v="1065.9000000000001"/>
    <x v="22"/>
    <d v="2025-01-24T00:00:00"/>
    <s v="F"/>
    <x v="2"/>
    <x v="1"/>
    <x v="0"/>
    <x v="3"/>
    <x v="3"/>
    <n v="4"/>
    <x v="2"/>
  </r>
  <r>
    <s v="TX500530"/>
    <x v="10"/>
    <x v="1"/>
    <n v="60.1"/>
    <n v="120.2"/>
    <x v="22"/>
    <d v="2025-01-24T00:00:00"/>
    <s v="F"/>
    <x v="3"/>
    <x v="0"/>
    <x v="0"/>
    <x v="3"/>
    <x v="3"/>
    <n v="4"/>
    <x v="2"/>
  </r>
  <r>
    <s v="TX500531"/>
    <x v="0"/>
    <x v="12"/>
    <n v="11.2"/>
    <n v="44.8"/>
    <x v="22"/>
    <d v="2025-01-24T00:00:00"/>
    <s v="F"/>
    <x v="3"/>
    <x v="1"/>
    <x v="0"/>
    <x v="3"/>
    <x v="3"/>
    <n v="4"/>
    <x v="2"/>
  </r>
  <r>
    <s v="TX500532"/>
    <x v="8"/>
    <x v="1"/>
    <n v="22.9"/>
    <n v="45.8"/>
    <x v="22"/>
    <d v="2025-01-24T00:00:00"/>
    <s v="F"/>
    <x v="0"/>
    <x v="0"/>
    <x v="0"/>
    <x v="6"/>
    <x v="3"/>
    <n v="4"/>
    <x v="2"/>
  </r>
  <r>
    <s v="TX500533"/>
    <x v="1"/>
    <x v="1"/>
    <n v="37.6"/>
    <n v="75.2"/>
    <x v="22"/>
    <d v="2025-01-26T00:00:00"/>
    <s v="F"/>
    <x v="0"/>
    <x v="0"/>
    <x v="0"/>
    <x v="6"/>
    <x v="2"/>
    <n v="4"/>
    <x v="2"/>
  </r>
  <r>
    <s v="TX500534"/>
    <x v="6"/>
    <x v="0"/>
    <n v="42.4"/>
    <n v="42.4"/>
    <x v="22"/>
    <d v="2025-01-24T00:00:00"/>
    <s v="F"/>
    <x v="3"/>
    <x v="2"/>
    <x v="0"/>
    <x v="6"/>
    <x v="3"/>
    <n v="4"/>
    <x v="2"/>
  </r>
  <r>
    <s v="TX500535"/>
    <x v="8"/>
    <x v="1"/>
    <n v="19.600000000000001"/>
    <n v="39.200000000000003"/>
    <x v="22"/>
    <d v="2025-01-27T00:00:00"/>
    <s v="F"/>
    <x v="2"/>
    <x v="0"/>
    <x v="0"/>
    <x v="7"/>
    <x v="5"/>
    <n v="4"/>
    <x v="2"/>
  </r>
  <r>
    <s v="TX500536"/>
    <x v="9"/>
    <x v="0"/>
    <n v="90.5"/>
    <n v="90.5"/>
    <x v="22"/>
    <d v="2025-01-26T00:00:00"/>
    <s v="F"/>
    <x v="2"/>
    <x v="0"/>
    <x v="0"/>
    <x v="7"/>
    <x v="2"/>
    <n v="4"/>
    <x v="2"/>
  </r>
  <r>
    <s v="TX500537"/>
    <x v="16"/>
    <x v="5"/>
    <n v="33.9"/>
    <n v="372.9"/>
    <x v="22"/>
    <d v="2025-01-24T00:00:00"/>
    <s v="M"/>
    <x v="2"/>
    <x v="1"/>
    <x v="0"/>
    <x v="7"/>
    <x v="3"/>
    <n v="4"/>
    <x v="1"/>
  </r>
  <r>
    <s v="TX500538"/>
    <x v="0"/>
    <x v="1"/>
    <n v="32.799999999999997"/>
    <n v="65.599999999999994"/>
    <x v="22"/>
    <d v="2025-01-25T00:00:00"/>
    <s v="F"/>
    <x v="4"/>
    <x v="4"/>
    <x v="0"/>
    <x v="8"/>
    <x v="1"/>
    <n v="4"/>
    <x v="2"/>
  </r>
  <r>
    <s v="TX500539"/>
    <x v="15"/>
    <x v="0"/>
    <n v="49.9"/>
    <n v="49.9"/>
    <x v="22"/>
    <d v="2025-01-24T00:00:00"/>
    <s v="M"/>
    <x v="3"/>
    <x v="1"/>
    <x v="0"/>
    <x v="8"/>
    <x v="3"/>
    <n v="4"/>
    <x v="1"/>
  </r>
  <r>
    <s v="TX500540"/>
    <x v="7"/>
    <x v="9"/>
    <n v="79.2"/>
    <n v="396"/>
    <x v="22"/>
    <d v="2025-01-24T00:00:00"/>
    <s v="F"/>
    <x v="4"/>
    <x v="0"/>
    <x v="0"/>
    <x v="8"/>
    <x v="3"/>
    <n v="4"/>
    <x v="2"/>
  </r>
  <r>
    <s v="TX500541"/>
    <x v="8"/>
    <x v="27"/>
    <n v="19.5"/>
    <n v="312"/>
    <x v="22"/>
    <d v="2025-01-25T00:00:00"/>
    <s v="M"/>
    <x v="3"/>
    <x v="2"/>
    <x v="0"/>
    <x v="8"/>
    <x v="1"/>
    <n v="4"/>
    <x v="1"/>
  </r>
  <r>
    <s v="TX500542"/>
    <x v="8"/>
    <x v="12"/>
    <n v="18"/>
    <n v="72"/>
    <x v="22"/>
    <d v="2025-01-24T00:00:00"/>
    <s v="M"/>
    <x v="1"/>
    <x v="0"/>
    <x v="0"/>
    <x v="10"/>
    <x v="3"/>
    <n v="4"/>
    <x v="1"/>
  </r>
  <r>
    <s v="TX500543"/>
    <x v="9"/>
    <x v="2"/>
    <n v="45.9"/>
    <n v="137.69999999999999"/>
    <x v="22"/>
    <d v="2025-01-25T00:00:00"/>
    <s v="F"/>
    <x v="1"/>
    <x v="1"/>
    <x v="0"/>
    <x v="10"/>
    <x v="1"/>
    <n v="4"/>
    <x v="2"/>
  </r>
  <r>
    <s v="TX500544"/>
    <x v="11"/>
    <x v="0"/>
    <n v="41.2"/>
    <n v="41.2"/>
    <x v="22"/>
    <d v="2025-01-25T00:00:00"/>
    <s v="F"/>
    <x v="1"/>
    <x v="2"/>
    <x v="0"/>
    <x v="11"/>
    <x v="1"/>
    <n v="4"/>
    <x v="2"/>
  </r>
  <r>
    <s v="TX500545"/>
    <x v="2"/>
    <x v="7"/>
    <n v="167.2"/>
    <n v="1672"/>
    <x v="22"/>
    <d v="2025-01-25T00:00:00"/>
    <s v="F"/>
    <x v="2"/>
    <x v="2"/>
    <x v="0"/>
    <x v="32"/>
    <x v="1"/>
    <n v="4"/>
    <x v="2"/>
  </r>
  <r>
    <s v="TX500546"/>
    <x v="6"/>
    <x v="17"/>
    <n v="74.5"/>
    <n v="2235"/>
    <x v="23"/>
    <d v="2025-01-27T00:00:00"/>
    <s v="F"/>
    <x v="1"/>
    <x v="2"/>
    <x v="0"/>
    <x v="38"/>
    <x v="2"/>
    <n v="4"/>
    <x v="2"/>
  </r>
  <r>
    <s v="TX500547"/>
    <x v="7"/>
    <x v="12"/>
    <n v="39.299999999999997"/>
    <n v="157.19999999999999"/>
    <x v="23"/>
    <d v="2025-01-25T00:00:00"/>
    <s v=""/>
    <x v="2"/>
    <x v="0"/>
    <x v="0"/>
    <x v="19"/>
    <x v="3"/>
    <n v="4"/>
    <x v="0"/>
  </r>
  <r>
    <s v="TX500548"/>
    <x v="9"/>
    <x v="0"/>
    <n v="68.5"/>
    <n v="68.5"/>
    <x v="23"/>
    <d v="2025-01-27T00:00:00"/>
    <s v="M"/>
    <x v="1"/>
    <x v="2"/>
    <x v="0"/>
    <x v="12"/>
    <x v="2"/>
    <n v="4"/>
    <x v="1"/>
  </r>
  <r>
    <s v="TX500549"/>
    <x v="0"/>
    <x v="2"/>
    <n v="22.5"/>
    <n v="67.5"/>
    <x v="23"/>
    <d v="2025-01-24T00:00:00"/>
    <s v="F"/>
    <x v="4"/>
    <x v="0"/>
    <x v="0"/>
    <x v="13"/>
    <x v="7"/>
    <n v="4"/>
    <x v="2"/>
  </r>
  <r>
    <s v="TX500550"/>
    <x v="1"/>
    <x v="0"/>
    <n v="48"/>
    <n v="48"/>
    <x v="23"/>
    <d v="2025-01-25T00:00:00"/>
    <s v="O"/>
    <x v="4"/>
    <x v="1"/>
    <x v="0"/>
    <x v="46"/>
    <x v="3"/>
    <n v="4"/>
    <x v="3"/>
  </r>
  <r>
    <s v="TX500551"/>
    <x v="6"/>
    <x v="0"/>
    <n v="94"/>
    <n v="94"/>
    <x v="23"/>
    <d v="2025-01-25T00:00:00"/>
    <s v="M"/>
    <x v="3"/>
    <x v="1"/>
    <x v="0"/>
    <x v="1"/>
    <x v="3"/>
    <n v="4"/>
    <x v="1"/>
  </r>
  <r>
    <s v="TX500552"/>
    <x v="8"/>
    <x v="2"/>
    <n v="21.9"/>
    <n v="65.699999999999989"/>
    <x v="23"/>
    <d v="2025-01-25T00:00:00"/>
    <s v="F"/>
    <x v="0"/>
    <x v="0"/>
    <x v="0"/>
    <x v="44"/>
    <x v="3"/>
    <n v="4"/>
    <x v="2"/>
  </r>
  <r>
    <s v="TX500553"/>
    <x v="6"/>
    <x v="3"/>
    <n v="64.900000000000006"/>
    <n v="454.30000000000007"/>
    <x v="23"/>
    <d v="2025-01-25T00:00:00"/>
    <s v="F"/>
    <x v="0"/>
    <x v="0"/>
    <x v="0"/>
    <x v="3"/>
    <x v="3"/>
    <n v="4"/>
    <x v="2"/>
  </r>
  <r>
    <s v="TX500554"/>
    <x v="12"/>
    <x v="0"/>
    <n v="52.9"/>
    <n v="52.9"/>
    <x v="23"/>
    <d v="2025-01-24T00:00:00"/>
    <s v="F"/>
    <x v="1"/>
    <x v="1"/>
    <x v="0"/>
    <x v="3"/>
    <x v="7"/>
    <n v="4"/>
    <x v="2"/>
  </r>
  <r>
    <s v="TX500555"/>
    <x v="8"/>
    <x v="2"/>
    <n v="25.5"/>
    <n v="76.5"/>
    <x v="23"/>
    <d v="2025-01-25T00:00:00"/>
    <s v="F"/>
    <x v="1"/>
    <x v="2"/>
    <x v="0"/>
    <x v="3"/>
    <x v="3"/>
    <n v="4"/>
    <x v="2"/>
  </r>
  <r>
    <s v="TX500556"/>
    <x v="6"/>
    <x v="2"/>
    <n v="51.9"/>
    <n v="155.69999999999999"/>
    <x v="23"/>
    <d v="2025-01-25T00:00:00"/>
    <s v="F"/>
    <x v="3"/>
    <x v="0"/>
    <x v="0"/>
    <x v="3"/>
    <x v="3"/>
    <n v="4"/>
    <x v="2"/>
  </r>
  <r>
    <s v="TX500557"/>
    <x v="5"/>
    <x v="0"/>
    <n v="46.3"/>
    <n v="46.3"/>
    <x v="23"/>
    <d v="2025-01-27T00:00:00"/>
    <s v="F"/>
    <x v="4"/>
    <x v="0"/>
    <x v="0"/>
    <x v="3"/>
    <x v="2"/>
    <n v="4"/>
    <x v="2"/>
  </r>
  <r>
    <s v="TX500558"/>
    <x v="6"/>
    <x v="1"/>
    <n v="68.2"/>
    <n v="136.4"/>
    <x v="23"/>
    <d v="2025-01-26T00:00:00"/>
    <s v="F"/>
    <x v="3"/>
    <x v="0"/>
    <x v="0"/>
    <x v="3"/>
    <x v="1"/>
    <n v="4"/>
    <x v="2"/>
  </r>
  <r>
    <s v="TX500559"/>
    <x v="1"/>
    <x v="0"/>
    <n v="40.299999999999997"/>
    <n v="40.299999999999997"/>
    <x v="23"/>
    <d v="2025-01-25T00:00:00"/>
    <s v="M"/>
    <x v="0"/>
    <x v="1"/>
    <x v="0"/>
    <x v="3"/>
    <x v="3"/>
    <n v="4"/>
    <x v="1"/>
  </r>
  <r>
    <s v="TX500560"/>
    <x v="2"/>
    <x v="2"/>
    <n v="91.3"/>
    <n v="273.89999999999998"/>
    <x v="23"/>
    <d v="2025-01-29T00:00:00"/>
    <s v="M"/>
    <x v="0"/>
    <x v="2"/>
    <x v="0"/>
    <x v="6"/>
    <x v="0"/>
    <n v="4"/>
    <x v="1"/>
  </r>
  <r>
    <s v="TX500561"/>
    <x v="0"/>
    <x v="2"/>
    <n v="11.9"/>
    <n v="35.700000000000003"/>
    <x v="23"/>
    <d v="2025-01-25T00:00:00"/>
    <s v="F"/>
    <x v="0"/>
    <x v="1"/>
    <x v="0"/>
    <x v="6"/>
    <x v="3"/>
    <n v="4"/>
    <x v="2"/>
  </r>
  <r>
    <s v="TX500562"/>
    <x v="2"/>
    <x v="1"/>
    <n v="63.5"/>
    <n v="127"/>
    <x v="23"/>
    <d v="2025-01-26T00:00:00"/>
    <s v="M"/>
    <x v="1"/>
    <x v="0"/>
    <x v="0"/>
    <x v="6"/>
    <x v="1"/>
    <n v="4"/>
    <x v="1"/>
  </r>
  <r>
    <s v="TX500563"/>
    <x v="4"/>
    <x v="1"/>
    <n v="27.1"/>
    <n v="54.2"/>
    <x v="23"/>
    <d v="2025-01-27T00:00:00"/>
    <s v="M"/>
    <x v="2"/>
    <x v="2"/>
    <x v="0"/>
    <x v="6"/>
    <x v="2"/>
    <n v="4"/>
    <x v="1"/>
  </r>
  <r>
    <s v="TX500564"/>
    <x v="1"/>
    <x v="1"/>
    <n v="82.1"/>
    <n v="164.2"/>
    <x v="24"/>
    <d v="2025-01-28T00:00:00"/>
    <s v="M"/>
    <x v="1"/>
    <x v="1"/>
    <x v="0"/>
    <x v="7"/>
    <x v="2"/>
    <n v="4"/>
    <x v="1"/>
  </r>
  <r>
    <s v="TX500565"/>
    <x v="3"/>
    <x v="9"/>
    <n v="42.9"/>
    <n v="214.5"/>
    <x v="24"/>
    <d v="2025-01-27T00:00:00"/>
    <s v="F"/>
    <x v="1"/>
    <x v="0"/>
    <x v="0"/>
    <x v="8"/>
    <x v="1"/>
    <n v="4"/>
    <x v="2"/>
  </r>
  <r>
    <s v="TX500566"/>
    <x v="8"/>
    <x v="5"/>
    <n v="37.9"/>
    <n v="416.9"/>
    <x v="24"/>
    <d v="2025-02-01T00:00:00"/>
    <s v="M"/>
    <x v="0"/>
    <x v="0"/>
    <x v="0"/>
    <x v="8"/>
    <x v="6"/>
    <n v="4"/>
    <x v="1"/>
  </r>
  <r>
    <s v="TX500567"/>
    <x v="0"/>
    <x v="0"/>
    <n v="22.4"/>
    <n v="22.4"/>
    <x v="24"/>
    <d v="2025-01-26T00:00:00"/>
    <s v="F"/>
    <x v="0"/>
    <x v="1"/>
    <x v="0"/>
    <x v="17"/>
    <x v="3"/>
    <n v="4"/>
    <x v="2"/>
  </r>
  <r>
    <s v="TX500568"/>
    <x v="2"/>
    <x v="15"/>
    <n v="79.900000000000006"/>
    <n v="1038.7"/>
    <x v="24"/>
    <d v="2025-02-07T00:00:00"/>
    <s v="F"/>
    <x v="3"/>
    <x v="1"/>
    <x v="0"/>
    <x v="11"/>
    <x v="10"/>
    <n v="4"/>
    <x v="2"/>
  </r>
  <r>
    <s v="TX500569"/>
    <x v="1"/>
    <x v="0"/>
    <n v="70.599999999999994"/>
    <n v="70.599999999999994"/>
    <x v="24"/>
    <d v="2025-01-28T00:00:00"/>
    <s v="F"/>
    <x v="0"/>
    <x v="1"/>
    <x v="0"/>
    <x v="11"/>
    <x v="2"/>
    <n v="4"/>
    <x v="2"/>
  </r>
  <r>
    <s v="TX500570"/>
    <x v="6"/>
    <x v="0"/>
    <n v="49.5"/>
    <n v="49.5"/>
    <x v="24"/>
    <d v="2025-01-27T00:00:00"/>
    <s v="M"/>
    <x v="0"/>
    <x v="0"/>
    <x v="0"/>
    <x v="13"/>
    <x v="1"/>
    <n v="4"/>
    <x v="1"/>
  </r>
  <r>
    <s v="TX500571"/>
    <x v="2"/>
    <x v="1"/>
    <n v="96.6"/>
    <n v="193.2"/>
    <x v="24"/>
    <d v="2025-01-27T00:00:00"/>
    <s v="M"/>
    <x v="0"/>
    <x v="0"/>
    <x v="0"/>
    <x v="21"/>
    <x v="1"/>
    <n v="4"/>
    <x v="1"/>
  </r>
  <r>
    <s v="TX500572"/>
    <x v="6"/>
    <x v="1"/>
    <n v="52.8"/>
    <n v="105.6"/>
    <x v="24"/>
    <d v="2025-01-26T00:00:00"/>
    <s v="F"/>
    <x v="1"/>
    <x v="1"/>
    <x v="0"/>
    <x v="21"/>
    <x v="3"/>
    <n v="4"/>
    <x v="2"/>
  </r>
  <r>
    <s v="TX500573"/>
    <x v="2"/>
    <x v="0"/>
    <n v="101.7"/>
    <n v="101.7"/>
    <x v="24"/>
    <d v="2025-01-26T00:00:00"/>
    <s v="M"/>
    <x v="0"/>
    <x v="0"/>
    <x v="0"/>
    <x v="1"/>
    <x v="3"/>
    <n v="4"/>
    <x v="1"/>
  </r>
  <r>
    <s v="TX500574"/>
    <x v="4"/>
    <x v="9"/>
    <n v="26.9"/>
    <n v="134.5"/>
    <x v="24"/>
    <d v="2025-01-30T00:00:00"/>
    <s v="F"/>
    <x v="1"/>
    <x v="1"/>
    <x v="0"/>
    <x v="22"/>
    <x v="0"/>
    <n v="4"/>
    <x v="2"/>
  </r>
  <r>
    <s v="TX500575"/>
    <x v="2"/>
    <x v="12"/>
    <n v="211"/>
    <n v="844"/>
    <x v="24"/>
    <d v="2025-01-25T00:00:00"/>
    <s v="F"/>
    <x v="1"/>
    <x v="1"/>
    <x v="0"/>
    <x v="3"/>
    <x v="7"/>
    <n v="4"/>
    <x v="2"/>
  </r>
  <r>
    <s v="TX500576"/>
    <x v="0"/>
    <x v="12"/>
    <n v="21.1"/>
    <n v="84.4"/>
    <x v="24"/>
    <d v="2025-01-28T00:00:00"/>
    <s v="M"/>
    <x v="4"/>
    <x v="0"/>
    <x v="0"/>
    <x v="3"/>
    <x v="2"/>
    <n v="4"/>
    <x v="1"/>
  </r>
  <r>
    <s v="TX500577"/>
    <x v="10"/>
    <x v="0"/>
    <n v="26.6"/>
    <n v="26.6"/>
    <x v="24"/>
    <d v="2025-01-27T00:00:00"/>
    <s v="M"/>
    <x v="0"/>
    <x v="4"/>
    <x v="0"/>
    <x v="3"/>
    <x v="1"/>
    <n v="4"/>
    <x v="1"/>
  </r>
  <r>
    <s v="TX500578"/>
    <x v="12"/>
    <x v="12"/>
    <n v="51.2"/>
    <n v="204.8"/>
    <x v="24"/>
    <d v="2025-01-26T00:00:00"/>
    <s v="F"/>
    <x v="3"/>
    <x v="0"/>
    <x v="0"/>
    <x v="47"/>
    <x v="3"/>
    <n v="4"/>
    <x v="2"/>
  </r>
  <r>
    <s v="TX500579"/>
    <x v="0"/>
    <x v="9"/>
    <n v="10.6"/>
    <n v="53"/>
    <x v="24"/>
    <d v="2025-01-29T00:00:00"/>
    <s v="F"/>
    <x v="0"/>
    <x v="0"/>
    <x v="0"/>
    <x v="8"/>
    <x v="5"/>
    <n v="4"/>
    <x v="2"/>
  </r>
  <r>
    <s v="TX500580"/>
    <x v="6"/>
    <x v="2"/>
    <n v="43.4"/>
    <n v="130.19999999999999"/>
    <x v="24"/>
    <d v="2025-01-28T00:00:00"/>
    <s v="F"/>
    <x v="4"/>
    <x v="0"/>
    <x v="0"/>
    <x v="8"/>
    <x v="2"/>
    <n v="4"/>
    <x v="2"/>
  </r>
  <r>
    <s v="TX500581"/>
    <x v="12"/>
    <x v="0"/>
    <n v="80"/>
    <n v="80"/>
    <x v="24"/>
    <d v="2025-01-25T00:00:00"/>
    <s v="F"/>
    <x v="0"/>
    <x v="2"/>
    <x v="0"/>
    <x v="8"/>
    <x v="7"/>
    <n v="4"/>
    <x v="2"/>
  </r>
  <r>
    <s v="TX500582"/>
    <x v="10"/>
    <x v="12"/>
    <n v="64.7"/>
    <n v="258.8"/>
    <x v="24"/>
    <d v="2025-01-27T00:00:00"/>
    <s v="F"/>
    <x v="1"/>
    <x v="4"/>
    <x v="0"/>
    <x v="8"/>
    <x v="1"/>
    <n v="4"/>
    <x v="2"/>
  </r>
  <r>
    <s v="TX500583"/>
    <x v="8"/>
    <x v="5"/>
    <n v="26.3"/>
    <n v="289.3"/>
    <x v="25"/>
    <d v="2025-01-26T00:00:00"/>
    <s v="F"/>
    <x v="4"/>
    <x v="1"/>
    <x v="0"/>
    <x v="26"/>
    <x v="7"/>
    <n v="5"/>
    <x v="2"/>
  </r>
  <r>
    <s v="TX500584"/>
    <x v="10"/>
    <x v="0"/>
    <n v="28.5"/>
    <n v="28.5"/>
    <x v="25"/>
    <d v="2025-01-26T00:00:00"/>
    <s v="M"/>
    <x v="0"/>
    <x v="1"/>
    <x v="0"/>
    <x v="9"/>
    <x v="7"/>
    <n v="5"/>
    <x v="1"/>
  </r>
  <r>
    <s v="TX500585"/>
    <x v="17"/>
    <x v="0"/>
    <n v="47.8"/>
    <n v="47.8"/>
    <x v="25"/>
    <d v="2025-01-28T00:00:00"/>
    <s v="F"/>
    <x v="0"/>
    <x v="1"/>
    <x v="0"/>
    <x v="9"/>
    <x v="1"/>
    <n v="5"/>
    <x v="2"/>
  </r>
  <r>
    <s v="TX500586"/>
    <x v="10"/>
    <x v="2"/>
    <n v="42.8"/>
    <n v="128.39999999999998"/>
    <x v="25"/>
    <d v="2025-01-29T00:00:00"/>
    <s v="F"/>
    <x v="4"/>
    <x v="1"/>
    <x v="0"/>
    <x v="11"/>
    <x v="2"/>
    <n v="5"/>
    <x v="2"/>
  </r>
  <r>
    <s v="TX500587"/>
    <x v="6"/>
    <x v="9"/>
    <n v="46.8"/>
    <n v="234"/>
    <x v="25"/>
    <d v="2025-01-31T00:00:00"/>
    <s v="F"/>
    <x v="1"/>
    <x v="2"/>
    <x v="0"/>
    <x v="11"/>
    <x v="0"/>
    <n v="5"/>
    <x v="2"/>
  </r>
  <r>
    <s v="TX500588"/>
    <x v="1"/>
    <x v="7"/>
    <n v="64.099999999999994"/>
    <n v="641"/>
    <x v="25"/>
    <d v="2025-01-27T00:00:00"/>
    <s v="M"/>
    <x v="1"/>
    <x v="0"/>
    <x v="0"/>
    <x v="11"/>
    <x v="3"/>
    <n v="5"/>
    <x v="1"/>
  </r>
  <r>
    <s v="TX500589"/>
    <x v="2"/>
    <x v="0"/>
    <n v="89.1"/>
    <n v="89.1"/>
    <x v="25"/>
    <d v="2025-01-27T00:00:00"/>
    <s v="F"/>
    <x v="0"/>
    <x v="1"/>
    <x v="0"/>
    <x v="20"/>
    <x v="3"/>
    <n v="5"/>
    <x v="2"/>
  </r>
  <r>
    <s v="TX500590"/>
    <x v="2"/>
    <x v="2"/>
    <n v="83.1"/>
    <n v="249.29999999999998"/>
    <x v="25"/>
    <d v="2025-01-27T00:00:00"/>
    <s v="F"/>
    <x v="2"/>
    <x v="1"/>
    <x v="0"/>
    <x v="13"/>
    <x v="3"/>
    <n v="5"/>
    <x v="2"/>
  </r>
  <r>
    <s v="TX500591"/>
    <x v="8"/>
    <x v="2"/>
    <n v="40.9"/>
    <n v="122.69999999999999"/>
    <x v="25"/>
    <d v="2025-01-27T00:00:00"/>
    <s v="M"/>
    <x v="0"/>
    <x v="0"/>
    <x v="0"/>
    <x v="1"/>
    <x v="3"/>
    <n v="5"/>
    <x v="1"/>
  </r>
  <r>
    <s v="TX500592"/>
    <x v="2"/>
    <x v="1"/>
    <n v="125.7"/>
    <n v="251.4"/>
    <x v="25"/>
    <d v="2025-01-27T00:00:00"/>
    <s v="F"/>
    <x v="3"/>
    <x v="0"/>
    <x v="0"/>
    <x v="2"/>
    <x v="3"/>
    <n v="5"/>
    <x v="2"/>
  </r>
  <r>
    <s v="TX500593"/>
    <x v="3"/>
    <x v="1"/>
    <n v="30.9"/>
    <n v="61.8"/>
    <x v="25"/>
    <d v="2025-01-26T00:00:00"/>
    <s v="F"/>
    <x v="2"/>
    <x v="2"/>
    <x v="0"/>
    <x v="22"/>
    <x v="7"/>
    <n v="5"/>
    <x v="2"/>
  </r>
  <r>
    <s v="TX500594"/>
    <x v="8"/>
    <x v="1"/>
    <n v="18.3"/>
    <n v="36.6"/>
    <x v="25"/>
    <d v="2025-01-27T00:00:00"/>
    <s v="F"/>
    <x v="1"/>
    <x v="0"/>
    <x v="0"/>
    <x v="3"/>
    <x v="3"/>
    <n v="5"/>
    <x v="2"/>
  </r>
  <r>
    <s v="TX500595"/>
    <x v="4"/>
    <x v="1"/>
    <n v="56.5"/>
    <n v="113"/>
    <x v="25"/>
    <d v="2025-01-30T00:00:00"/>
    <s v="M"/>
    <x v="2"/>
    <x v="2"/>
    <x v="0"/>
    <x v="3"/>
    <x v="5"/>
    <n v="5"/>
    <x v="1"/>
  </r>
  <r>
    <s v="TX500596"/>
    <x v="10"/>
    <x v="3"/>
    <n v="29.9"/>
    <n v="209.29999999999998"/>
    <x v="25"/>
    <d v="2025-01-28T00:00:00"/>
    <s v="M"/>
    <x v="4"/>
    <x v="2"/>
    <x v="0"/>
    <x v="3"/>
    <x v="1"/>
    <n v="5"/>
    <x v="1"/>
  </r>
  <r>
    <s v="TX500597"/>
    <x v="5"/>
    <x v="1"/>
    <n v="50.4"/>
    <n v="100.8"/>
    <x v="25"/>
    <d v="2025-01-27T00:00:00"/>
    <s v="F"/>
    <x v="2"/>
    <x v="0"/>
    <x v="0"/>
    <x v="3"/>
    <x v="3"/>
    <n v="5"/>
    <x v="2"/>
  </r>
  <r>
    <s v="TX500598"/>
    <x v="2"/>
    <x v="0"/>
    <n v="85.8"/>
    <n v="85.8"/>
    <x v="25"/>
    <d v="2025-01-26T00:00:00"/>
    <s v="F"/>
    <x v="2"/>
    <x v="2"/>
    <x v="0"/>
    <x v="3"/>
    <x v="7"/>
    <n v="5"/>
    <x v="2"/>
  </r>
  <r>
    <s v="TX500599"/>
    <x v="4"/>
    <x v="27"/>
    <n v="66.599999999999994"/>
    <n v="1065.5999999999999"/>
    <x v="25"/>
    <d v="2025-01-28T00:00:00"/>
    <s v="M"/>
    <x v="1"/>
    <x v="0"/>
    <x v="0"/>
    <x v="3"/>
    <x v="1"/>
    <n v="5"/>
    <x v="1"/>
  </r>
  <r>
    <s v="TX500600"/>
    <x v="6"/>
    <x v="12"/>
    <n v="70.3"/>
    <n v="281.2"/>
    <x v="25"/>
    <d v="2025-01-27T00:00:00"/>
    <s v="F"/>
    <x v="0"/>
    <x v="1"/>
    <x v="0"/>
    <x v="3"/>
    <x v="3"/>
    <n v="5"/>
    <x v="2"/>
  </r>
  <r>
    <s v="TX500601"/>
    <x v="8"/>
    <x v="12"/>
    <n v="31"/>
    <n v="124"/>
    <x v="25"/>
    <d v="2025-01-29T00:00:00"/>
    <s v="M"/>
    <x v="0"/>
    <x v="2"/>
    <x v="0"/>
    <x v="3"/>
    <x v="2"/>
    <n v="5"/>
    <x v="1"/>
  </r>
  <r>
    <s v="TX500602"/>
    <x v="7"/>
    <x v="13"/>
    <n v="81.599999999999994"/>
    <n v="489.59999999999997"/>
    <x v="25"/>
    <d v="2025-01-27T00:00:00"/>
    <s v="F"/>
    <x v="1"/>
    <x v="1"/>
    <x v="0"/>
    <x v="37"/>
    <x v="3"/>
    <n v="5"/>
    <x v="2"/>
  </r>
  <r>
    <s v="TX500603"/>
    <x v="1"/>
    <x v="30"/>
    <n v="58.3"/>
    <n v="1457.5"/>
    <x v="25"/>
    <d v="2025-01-27T00:00:00"/>
    <s v="F"/>
    <x v="0"/>
    <x v="0"/>
    <x v="0"/>
    <x v="16"/>
    <x v="3"/>
    <n v="5"/>
    <x v="2"/>
  </r>
  <r>
    <s v="TX500604"/>
    <x v="1"/>
    <x v="12"/>
    <n v="35.1"/>
    <n v="140.4"/>
    <x v="25"/>
    <d v="2025-01-28T00:00:00"/>
    <s v="M"/>
    <x v="0"/>
    <x v="2"/>
    <x v="0"/>
    <x v="8"/>
    <x v="1"/>
    <n v="5"/>
    <x v="1"/>
  </r>
  <r>
    <s v="TX500605"/>
    <x v="2"/>
    <x v="0"/>
    <n v="80.2"/>
    <n v="80.2"/>
    <x v="25"/>
    <d v="2025-01-27T00:00:00"/>
    <s v="M"/>
    <x v="3"/>
    <x v="2"/>
    <x v="0"/>
    <x v="8"/>
    <x v="3"/>
    <n v="5"/>
    <x v="1"/>
  </r>
  <r>
    <s v="TX500606"/>
    <x v="14"/>
    <x v="2"/>
    <n v="39.200000000000003"/>
    <n v="117.60000000000001"/>
    <x v="25"/>
    <d v="2025-01-28T00:00:00"/>
    <s v="F"/>
    <x v="1"/>
    <x v="0"/>
    <x v="0"/>
    <x v="9"/>
    <x v="1"/>
    <n v="5"/>
    <x v="2"/>
  </r>
  <r>
    <s v="TX500607"/>
    <x v="0"/>
    <x v="1"/>
    <n v="15.4"/>
    <n v="30.8"/>
    <x v="25"/>
    <d v="2025-01-26T00:00:00"/>
    <s v="F"/>
    <x v="3"/>
    <x v="0"/>
    <x v="0"/>
    <x v="48"/>
    <x v="7"/>
    <n v="5"/>
    <x v="2"/>
  </r>
  <r>
    <s v="TX500608"/>
    <x v="3"/>
    <x v="2"/>
    <n v="65.400000000000006"/>
    <n v="196.20000000000002"/>
    <x v="25"/>
    <d v="2025-01-29T00:00:00"/>
    <s v="M"/>
    <x v="3"/>
    <x v="0"/>
    <x v="0"/>
    <x v="18"/>
    <x v="2"/>
    <n v="5"/>
    <x v="1"/>
  </r>
  <r>
    <s v="TX500609"/>
    <x v="1"/>
    <x v="8"/>
    <n v="63.2"/>
    <n v="505.6"/>
    <x v="25"/>
    <d v="2025-01-28T00:00:00"/>
    <s v="F"/>
    <x v="1"/>
    <x v="0"/>
    <x v="0"/>
    <x v="19"/>
    <x v="1"/>
    <n v="5"/>
    <x v="2"/>
  </r>
  <r>
    <s v="TX500610"/>
    <x v="1"/>
    <x v="13"/>
    <n v="35.700000000000003"/>
    <n v="214.20000000000002"/>
    <x v="25"/>
    <d v="2025-01-30T00:00:00"/>
    <s v="F"/>
    <x v="4"/>
    <x v="1"/>
    <x v="0"/>
    <x v="19"/>
    <x v="5"/>
    <n v="5"/>
    <x v="2"/>
  </r>
  <r>
    <s v="TX500611"/>
    <x v="0"/>
    <x v="28"/>
    <n v="26.2"/>
    <n v="524"/>
    <x v="25"/>
    <d v="2025-01-27T00:00:00"/>
    <s v="F"/>
    <x v="3"/>
    <x v="0"/>
    <x v="0"/>
    <x v="21"/>
    <x v="3"/>
    <n v="5"/>
    <x v="2"/>
  </r>
  <r>
    <s v="TX500612"/>
    <x v="7"/>
    <x v="1"/>
    <n v="31"/>
    <n v="62"/>
    <x v="25"/>
    <d v="2025-01-27T00:00:00"/>
    <s v="F"/>
    <x v="0"/>
    <x v="2"/>
    <x v="0"/>
    <x v="1"/>
    <x v="3"/>
    <n v="5"/>
    <x v="2"/>
  </r>
  <r>
    <s v="TX500613"/>
    <x v="8"/>
    <x v="12"/>
    <n v="37.700000000000003"/>
    <n v="150.80000000000001"/>
    <x v="25"/>
    <d v="2025-01-27T00:00:00"/>
    <s v="F"/>
    <x v="1"/>
    <x v="0"/>
    <x v="0"/>
    <x v="22"/>
    <x v="3"/>
    <n v="5"/>
    <x v="2"/>
  </r>
  <r>
    <s v="TX500614"/>
    <x v="10"/>
    <x v="33"/>
    <n v="43.6"/>
    <n v="1482.4"/>
    <x v="25"/>
    <d v="2025-01-28T00:00:00"/>
    <s v="F"/>
    <x v="4"/>
    <x v="1"/>
    <x v="0"/>
    <x v="3"/>
    <x v="1"/>
    <n v="5"/>
    <x v="2"/>
  </r>
  <r>
    <s v="TX500615"/>
    <x v="9"/>
    <x v="12"/>
    <n v="26.5"/>
    <n v="106"/>
    <x v="25"/>
    <d v="2025-01-28T00:00:00"/>
    <s v="M"/>
    <x v="0"/>
    <x v="4"/>
    <x v="0"/>
    <x v="3"/>
    <x v="1"/>
    <n v="5"/>
    <x v="1"/>
  </r>
  <r>
    <s v="TX500616"/>
    <x v="0"/>
    <x v="1"/>
    <n v="34.6"/>
    <n v="69.2"/>
    <x v="25"/>
    <d v="2025-01-27T00:00:00"/>
    <s v="M"/>
    <x v="4"/>
    <x v="1"/>
    <x v="0"/>
    <x v="3"/>
    <x v="3"/>
    <n v="5"/>
    <x v="1"/>
  </r>
  <r>
    <s v="TX500617"/>
    <x v="8"/>
    <x v="1"/>
    <n v="58.2"/>
    <n v="116.4"/>
    <x v="25"/>
    <d v="2025-01-27T00:00:00"/>
    <s v="M"/>
    <x v="2"/>
    <x v="2"/>
    <x v="0"/>
    <x v="3"/>
    <x v="3"/>
    <n v="5"/>
    <x v="1"/>
  </r>
  <r>
    <s v="TX500618"/>
    <x v="7"/>
    <x v="0"/>
    <n v="30.2"/>
    <n v="30.2"/>
    <x v="26"/>
    <d v="2025-01-28T00:00:00"/>
    <s v="F"/>
    <x v="2"/>
    <x v="1"/>
    <x v="0"/>
    <x v="3"/>
    <x v="3"/>
    <n v="5"/>
    <x v="2"/>
  </r>
  <r>
    <s v="TX500619"/>
    <x v="1"/>
    <x v="7"/>
    <n v="53.2"/>
    <n v="532"/>
    <x v="26"/>
    <d v="2025-01-28T00:00:00"/>
    <s v="M"/>
    <x v="0"/>
    <x v="2"/>
    <x v="0"/>
    <x v="5"/>
    <x v="3"/>
    <n v="5"/>
    <x v="1"/>
  </r>
  <r>
    <s v="TX500620"/>
    <x v="12"/>
    <x v="13"/>
    <n v="51.1"/>
    <n v="306.60000000000002"/>
    <x v="26"/>
    <d v="2025-01-27T00:00:00"/>
    <s v="M"/>
    <x v="1"/>
    <x v="2"/>
    <x v="0"/>
    <x v="5"/>
    <x v="7"/>
    <n v="5"/>
    <x v="1"/>
  </r>
  <r>
    <s v="TX500621"/>
    <x v="1"/>
    <x v="0"/>
    <n v="105.4"/>
    <n v="105.4"/>
    <x v="26"/>
    <d v="2025-01-31T00:00:00"/>
    <s v="F"/>
    <x v="1"/>
    <x v="2"/>
    <x v="0"/>
    <x v="23"/>
    <x v="5"/>
    <n v="5"/>
    <x v="2"/>
  </r>
  <r>
    <s v="TX500622"/>
    <x v="7"/>
    <x v="0"/>
    <n v="57.7"/>
    <n v="57.7"/>
    <x v="26"/>
    <d v="2025-01-27T00:00:00"/>
    <s v="M"/>
    <x v="0"/>
    <x v="4"/>
    <x v="0"/>
    <x v="8"/>
    <x v="7"/>
    <n v="5"/>
    <x v="1"/>
  </r>
  <r>
    <s v="TX500623"/>
    <x v="15"/>
    <x v="1"/>
    <n v="72.400000000000006"/>
    <n v="144.80000000000001"/>
    <x v="26"/>
    <d v="2025-02-01T00:00:00"/>
    <s v="F"/>
    <x v="0"/>
    <x v="0"/>
    <x v="0"/>
    <x v="17"/>
    <x v="0"/>
    <n v="5"/>
    <x v="2"/>
  </r>
  <r>
    <s v="TX500624"/>
    <x v="6"/>
    <x v="1"/>
    <n v="62.5"/>
    <n v="125"/>
    <x v="26"/>
    <d v="2025-01-28T00:00:00"/>
    <s v=""/>
    <x v="0"/>
    <x v="2"/>
    <x v="0"/>
    <x v="11"/>
    <x v="3"/>
    <n v="5"/>
    <x v="0"/>
  </r>
  <r>
    <s v="TX500625"/>
    <x v="0"/>
    <x v="32"/>
    <n v="11.6"/>
    <n v="255.2"/>
    <x v="26"/>
    <d v="2025-01-29T00:00:00"/>
    <s v="F"/>
    <x v="3"/>
    <x v="2"/>
    <x v="0"/>
    <x v="18"/>
    <x v="1"/>
    <n v="5"/>
    <x v="2"/>
  </r>
  <r>
    <s v="TX500626"/>
    <x v="10"/>
    <x v="7"/>
    <n v="39.6"/>
    <n v="396"/>
    <x v="26"/>
    <d v="2025-01-29T00:00:00"/>
    <s v="F"/>
    <x v="2"/>
    <x v="2"/>
    <x v="0"/>
    <x v="18"/>
    <x v="1"/>
    <n v="5"/>
    <x v="2"/>
  </r>
  <r>
    <s v="TX500627"/>
    <x v="8"/>
    <x v="1"/>
    <n v="40.1"/>
    <n v="80.2"/>
    <x v="26"/>
    <d v="2025-01-28T00:00:00"/>
    <s v="F"/>
    <x v="2"/>
    <x v="0"/>
    <x v="0"/>
    <x v="18"/>
    <x v="3"/>
    <n v="5"/>
    <x v="2"/>
  </r>
  <r>
    <s v="TX500628"/>
    <x v="8"/>
    <x v="2"/>
    <n v="18.600000000000001"/>
    <n v="55.800000000000004"/>
    <x v="26"/>
    <d v="2025-01-28T00:00:00"/>
    <s v="F"/>
    <x v="2"/>
    <x v="0"/>
    <x v="0"/>
    <x v="21"/>
    <x v="3"/>
    <n v="5"/>
    <x v="2"/>
  </r>
  <r>
    <s v="TX500629"/>
    <x v="4"/>
    <x v="0"/>
    <n v="58.8"/>
    <n v="58.8"/>
    <x v="26"/>
    <d v="2025-01-29T00:00:00"/>
    <s v="F"/>
    <x v="0"/>
    <x v="1"/>
    <x v="0"/>
    <x v="21"/>
    <x v="1"/>
    <n v="5"/>
    <x v="2"/>
  </r>
  <r>
    <s v="TX500630"/>
    <x v="8"/>
    <x v="1"/>
    <n v="22.1"/>
    <n v="44.2"/>
    <x v="26"/>
    <d v="2025-01-30T00:00:00"/>
    <s v="M"/>
    <x v="1"/>
    <x v="2"/>
    <x v="0"/>
    <x v="21"/>
    <x v="2"/>
    <n v="5"/>
    <x v="1"/>
  </r>
  <r>
    <s v="TX500631"/>
    <x v="2"/>
    <x v="0"/>
    <n v="114.9"/>
    <n v="114.9"/>
    <x v="27"/>
    <d v="2025-01-29T00:00:00"/>
    <s v="F"/>
    <x v="1"/>
    <x v="1"/>
    <x v="0"/>
    <x v="22"/>
    <x v="3"/>
    <n v="5"/>
    <x v="2"/>
  </r>
  <r>
    <s v="TX500632"/>
    <x v="9"/>
    <x v="9"/>
    <n v="75.8"/>
    <n v="379"/>
    <x v="27"/>
    <d v="2025-01-29T00:00:00"/>
    <s v="M"/>
    <x v="0"/>
    <x v="2"/>
    <x v="0"/>
    <x v="3"/>
    <x v="3"/>
    <n v="5"/>
    <x v="1"/>
  </r>
  <r>
    <s v="TX500633"/>
    <x v="14"/>
    <x v="9"/>
    <n v="20.6"/>
    <n v="103"/>
    <x v="27"/>
    <d v="2025-01-29T00:00:00"/>
    <s v="M"/>
    <x v="2"/>
    <x v="2"/>
    <x v="0"/>
    <x v="3"/>
    <x v="3"/>
    <n v="5"/>
    <x v="1"/>
  </r>
  <r>
    <s v="TX500634"/>
    <x v="17"/>
    <x v="2"/>
    <n v="67.900000000000006"/>
    <n v="203.70000000000002"/>
    <x v="27"/>
    <d v="2025-01-29T00:00:00"/>
    <s v="F"/>
    <x v="1"/>
    <x v="1"/>
    <x v="0"/>
    <x v="3"/>
    <x v="3"/>
    <n v="5"/>
    <x v="2"/>
  </r>
  <r>
    <s v="TX500635"/>
    <x v="0"/>
    <x v="9"/>
    <n v="27"/>
    <n v="135"/>
    <x v="27"/>
    <d v="2025-02-04T00:00:00"/>
    <s v="F"/>
    <x v="0"/>
    <x v="2"/>
    <x v="0"/>
    <x v="3"/>
    <x v="6"/>
    <n v="5"/>
    <x v="2"/>
  </r>
  <r>
    <s v="TX500636"/>
    <x v="13"/>
    <x v="0"/>
    <n v="50.6"/>
    <n v="50.6"/>
    <x v="27"/>
    <d v="2025-01-28T00:00:00"/>
    <s v="M"/>
    <x v="0"/>
    <x v="1"/>
    <x v="0"/>
    <x v="3"/>
    <x v="7"/>
    <n v="5"/>
    <x v="1"/>
  </r>
  <r>
    <s v="TX500637"/>
    <x v="4"/>
    <x v="9"/>
    <n v="22.1"/>
    <n v="110.5"/>
    <x v="27"/>
    <d v="2025-02-02T00:00:00"/>
    <s v="M"/>
    <x v="0"/>
    <x v="0"/>
    <x v="0"/>
    <x v="3"/>
    <x v="0"/>
    <n v="5"/>
    <x v="1"/>
  </r>
  <r>
    <s v="TX500638"/>
    <x v="8"/>
    <x v="2"/>
    <n v="42.9"/>
    <n v="128.69999999999999"/>
    <x v="27"/>
    <d v="2025-01-30T00:00:00"/>
    <s v="F"/>
    <x v="0"/>
    <x v="0"/>
    <x v="0"/>
    <x v="3"/>
    <x v="1"/>
    <n v="5"/>
    <x v="2"/>
  </r>
  <r>
    <s v="TX500639"/>
    <x v="1"/>
    <x v="5"/>
    <n v="62.4"/>
    <n v="686.4"/>
    <x v="27"/>
    <d v="2025-01-30T00:00:00"/>
    <s v="F"/>
    <x v="2"/>
    <x v="0"/>
    <x v="0"/>
    <x v="3"/>
    <x v="1"/>
    <n v="5"/>
    <x v="2"/>
  </r>
  <r>
    <s v="TX500640"/>
    <x v="13"/>
    <x v="11"/>
    <n v="36.4"/>
    <n v="327.59999999999997"/>
    <x v="27"/>
    <d v="2025-01-30T00:00:00"/>
    <s v="F"/>
    <x v="0"/>
    <x v="2"/>
    <x v="0"/>
    <x v="3"/>
    <x v="1"/>
    <n v="5"/>
    <x v="2"/>
  </r>
  <r>
    <s v="TX500641"/>
    <x v="0"/>
    <x v="1"/>
    <n v="22.5"/>
    <n v="45"/>
    <x v="27"/>
    <d v="2025-01-31T00:00:00"/>
    <s v="M"/>
    <x v="0"/>
    <x v="0"/>
    <x v="0"/>
    <x v="3"/>
    <x v="2"/>
    <n v="5"/>
    <x v="1"/>
  </r>
  <r>
    <s v="TX500642"/>
    <x v="6"/>
    <x v="12"/>
    <n v="70.8"/>
    <n v="283.2"/>
    <x v="27"/>
    <d v="2025-01-30T00:00:00"/>
    <s v="F"/>
    <x v="4"/>
    <x v="0"/>
    <x v="0"/>
    <x v="3"/>
    <x v="1"/>
    <n v="5"/>
    <x v="2"/>
  </r>
  <r>
    <s v="TX500643"/>
    <x v="6"/>
    <x v="9"/>
    <n v="56.6"/>
    <n v="283"/>
    <x v="27"/>
    <d v="2025-01-30T00:00:00"/>
    <s v="M"/>
    <x v="0"/>
    <x v="1"/>
    <x v="0"/>
    <x v="4"/>
    <x v="1"/>
    <n v="5"/>
    <x v="1"/>
  </r>
  <r>
    <s v="TX500644"/>
    <x v="6"/>
    <x v="1"/>
    <n v="47.9"/>
    <n v="95.8"/>
    <x v="27"/>
    <d v="2025-01-29T00:00:00"/>
    <s v="F"/>
    <x v="0"/>
    <x v="0"/>
    <x v="0"/>
    <x v="6"/>
    <x v="3"/>
    <n v="5"/>
    <x v="2"/>
  </r>
  <r>
    <s v="TX500645"/>
    <x v="6"/>
    <x v="8"/>
    <n v="78.400000000000006"/>
    <n v="627.20000000000005"/>
    <x v="27"/>
    <d v="2025-01-30T00:00:00"/>
    <s v="F"/>
    <x v="1"/>
    <x v="0"/>
    <x v="0"/>
    <x v="6"/>
    <x v="1"/>
    <n v="5"/>
    <x v="2"/>
  </r>
  <r>
    <s v="TX500646"/>
    <x v="2"/>
    <x v="21"/>
    <n v="122.1"/>
    <n v="1709.3999999999999"/>
    <x v="27"/>
    <d v="2025-02-02T00:00:00"/>
    <s v="F"/>
    <x v="0"/>
    <x v="2"/>
    <x v="0"/>
    <x v="6"/>
    <x v="0"/>
    <n v="5"/>
    <x v="2"/>
  </r>
  <r>
    <s v="TX500647"/>
    <x v="2"/>
    <x v="1"/>
    <n v="83.7"/>
    <n v="167.4"/>
    <x v="28"/>
    <d v="2025-01-29T00:00:00"/>
    <s v=""/>
    <x v="1"/>
    <x v="2"/>
    <x v="0"/>
    <x v="7"/>
    <x v="7"/>
    <n v="5"/>
    <x v="0"/>
  </r>
  <r>
    <s v="TX500648"/>
    <x v="3"/>
    <x v="12"/>
    <n v="97.9"/>
    <n v="391.6"/>
    <x v="28"/>
    <d v="2025-02-02T00:00:00"/>
    <s v="F"/>
    <x v="3"/>
    <x v="2"/>
    <x v="0"/>
    <x v="7"/>
    <x v="5"/>
    <n v="5"/>
    <x v="2"/>
  </r>
  <r>
    <s v="TX500649"/>
    <x v="14"/>
    <x v="0"/>
    <n v="15"/>
    <n v="15"/>
    <x v="28"/>
    <d v="2025-02-03T00:00:00"/>
    <s v="F"/>
    <x v="3"/>
    <x v="0"/>
    <x v="0"/>
    <x v="8"/>
    <x v="0"/>
    <n v="5"/>
    <x v="2"/>
  </r>
  <r>
    <s v="TX500650"/>
    <x v="12"/>
    <x v="2"/>
    <n v="94.6"/>
    <n v="283.79999999999995"/>
    <x v="28"/>
    <d v="2025-01-30T00:00:00"/>
    <s v="M"/>
    <x v="2"/>
    <x v="1"/>
    <x v="0"/>
    <x v="8"/>
    <x v="3"/>
    <n v="5"/>
    <x v="1"/>
  </r>
  <r>
    <s v="TX500651"/>
    <x v="0"/>
    <x v="13"/>
    <n v="19.7"/>
    <n v="118.19999999999999"/>
    <x v="28"/>
    <d v="2025-02-09T00:00:00"/>
    <s v="F"/>
    <x v="0"/>
    <x v="2"/>
    <x v="0"/>
    <x v="8"/>
    <x v="11"/>
    <n v="5"/>
    <x v="2"/>
  </r>
  <r>
    <s v="TX500652"/>
    <x v="7"/>
    <x v="0"/>
    <n v="46.7"/>
    <n v="46.7"/>
    <x v="28"/>
    <d v="2025-02-01T00:00:00"/>
    <s v="F"/>
    <x v="2"/>
    <x v="0"/>
    <x v="0"/>
    <x v="17"/>
    <x v="2"/>
    <n v="5"/>
    <x v="2"/>
  </r>
  <r>
    <s v="TX500653"/>
    <x v="1"/>
    <x v="12"/>
    <n v="43"/>
    <n v="172"/>
    <x v="28"/>
    <d v="2025-01-30T00:00:00"/>
    <s v="M"/>
    <x v="2"/>
    <x v="2"/>
    <x v="0"/>
    <x v="17"/>
    <x v="3"/>
    <n v="5"/>
    <x v="1"/>
  </r>
  <r>
    <s v="TX500654"/>
    <x v="6"/>
    <x v="2"/>
    <n v="68.2"/>
    <n v="204.60000000000002"/>
    <x v="28"/>
    <d v="2025-02-04T00:00:00"/>
    <s v="F"/>
    <x v="0"/>
    <x v="0"/>
    <x v="0"/>
    <x v="9"/>
    <x v="4"/>
    <n v="5"/>
    <x v="2"/>
  </r>
  <r>
    <s v="TX500655"/>
    <x v="10"/>
    <x v="7"/>
    <n v="24.3"/>
    <n v="243"/>
    <x v="28"/>
    <d v="2025-01-30T00:00:00"/>
    <s v="M"/>
    <x v="0"/>
    <x v="2"/>
    <x v="0"/>
    <x v="10"/>
    <x v="3"/>
    <n v="5"/>
    <x v="1"/>
  </r>
  <r>
    <s v="TX500656"/>
    <x v="7"/>
    <x v="1"/>
    <n v="86.8"/>
    <n v="173.6"/>
    <x v="28"/>
    <d v="2025-02-02T00:00:00"/>
    <s v="F"/>
    <x v="4"/>
    <x v="2"/>
    <x v="0"/>
    <x v="11"/>
    <x v="5"/>
    <n v="5"/>
    <x v="2"/>
  </r>
  <r>
    <s v="TX500657"/>
    <x v="0"/>
    <x v="1"/>
    <n v="15.8"/>
    <n v="31.6"/>
    <x v="28"/>
    <d v="2025-01-31T00:00:00"/>
    <s v="M"/>
    <x v="1"/>
    <x v="0"/>
    <x v="0"/>
    <x v="11"/>
    <x v="1"/>
    <n v="5"/>
    <x v="1"/>
  </r>
  <r>
    <s v="TX500658"/>
    <x v="2"/>
    <x v="12"/>
    <n v="61.6"/>
    <n v="246.4"/>
    <x v="28"/>
    <d v="2025-01-30T00:00:00"/>
    <s v="M"/>
    <x v="2"/>
    <x v="0"/>
    <x v="0"/>
    <x v="11"/>
    <x v="3"/>
    <n v="5"/>
    <x v="1"/>
  </r>
  <r>
    <s v="TX500659"/>
    <x v="6"/>
    <x v="2"/>
    <n v="48.7"/>
    <n v="146.10000000000002"/>
    <x v="28"/>
    <d v="2025-02-04T00:00:00"/>
    <s v="F"/>
    <x v="1"/>
    <x v="2"/>
    <x v="0"/>
    <x v="45"/>
    <x v="4"/>
    <n v="5"/>
    <x v="2"/>
  </r>
  <r>
    <s v="TX500660"/>
    <x v="8"/>
    <x v="12"/>
    <n v="24.3"/>
    <n v="97.2"/>
    <x v="28"/>
    <d v="2025-01-31T00:00:00"/>
    <s v="F"/>
    <x v="1"/>
    <x v="2"/>
    <x v="0"/>
    <x v="21"/>
    <x v="1"/>
    <n v="5"/>
    <x v="2"/>
  </r>
  <r>
    <s v="TX500661"/>
    <x v="2"/>
    <x v="1"/>
    <n v="130.69999999999999"/>
    <n v="261.39999999999998"/>
    <x v="28"/>
    <d v="2025-01-30T00:00:00"/>
    <s v="F"/>
    <x v="2"/>
    <x v="0"/>
    <x v="0"/>
    <x v="44"/>
    <x v="3"/>
    <n v="5"/>
    <x v="2"/>
  </r>
  <r>
    <s v="TX500662"/>
    <x v="10"/>
    <x v="0"/>
    <n v="26"/>
    <n v="26"/>
    <x v="28"/>
    <d v="2025-01-31T00:00:00"/>
    <s v="M"/>
    <x v="0"/>
    <x v="0"/>
    <x v="0"/>
    <x v="3"/>
    <x v="1"/>
    <n v="5"/>
    <x v="1"/>
  </r>
  <r>
    <s v="TX500663"/>
    <x v="2"/>
    <x v="9"/>
    <n v="94.4"/>
    <n v="472"/>
    <x v="28"/>
    <d v="2025-01-30T00:00:00"/>
    <s v="F"/>
    <x v="0"/>
    <x v="0"/>
    <x v="0"/>
    <x v="3"/>
    <x v="3"/>
    <n v="5"/>
    <x v="2"/>
  </r>
  <r>
    <s v="TX500664"/>
    <x v="0"/>
    <x v="13"/>
    <n v="23.7"/>
    <n v="142.19999999999999"/>
    <x v="28"/>
    <d v="2025-01-31T00:00:00"/>
    <s v="M"/>
    <x v="2"/>
    <x v="2"/>
    <x v="0"/>
    <x v="3"/>
    <x v="1"/>
    <n v="5"/>
    <x v="1"/>
  </r>
  <r>
    <s v="TX500665"/>
    <x v="9"/>
    <x v="4"/>
    <n v="37.4"/>
    <n v="448.79999999999995"/>
    <x v="28"/>
    <d v="2025-01-31T00:00:00"/>
    <s v="M"/>
    <x v="2"/>
    <x v="0"/>
    <x v="0"/>
    <x v="3"/>
    <x v="1"/>
    <n v="5"/>
    <x v="1"/>
  </r>
  <r>
    <s v="TX500666"/>
    <x v="1"/>
    <x v="34"/>
    <n v="55.2"/>
    <n v="1987.2"/>
    <x v="28"/>
    <d v="2025-01-29T00:00:00"/>
    <s v="F"/>
    <x v="3"/>
    <x v="1"/>
    <x v="0"/>
    <x v="3"/>
    <x v="7"/>
    <n v="5"/>
    <x v="2"/>
  </r>
  <r>
    <s v="TX500667"/>
    <x v="2"/>
    <x v="11"/>
    <n v="57.1"/>
    <n v="513.9"/>
    <x v="28"/>
    <d v="2025-01-31T00:00:00"/>
    <s v="M"/>
    <x v="0"/>
    <x v="2"/>
    <x v="0"/>
    <x v="3"/>
    <x v="1"/>
    <n v="5"/>
    <x v="1"/>
  </r>
  <r>
    <s v="TX500668"/>
    <x v="12"/>
    <x v="0"/>
    <n v="55.3"/>
    <n v="55.3"/>
    <x v="28"/>
    <d v="2025-01-30T00:00:00"/>
    <s v="F"/>
    <x v="2"/>
    <x v="2"/>
    <x v="0"/>
    <x v="3"/>
    <x v="3"/>
    <n v="5"/>
    <x v="2"/>
  </r>
  <r>
    <s v="TX500669"/>
    <x v="15"/>
    <x v="3"/>
    <n v="23.9"/>
    <n v="167.29999999999998"/>
    <x v="28"/>
    <d v="2025-01-30T00:00:00"/>
    <s v="F"/>
    <x v="4"/>
    <x v="1"/>
    <x v="0"/>
    <x v="3"/>
    <x v="3"/>
    <n v="5"/>
    <x v="2"/>
  </r>
  <r>
    <s v="TX500670"/>
    <x v="0"/>
    <x v="0"/>
    <n v="34.1"/>
    <n v="34.1"/>
    <x v="28"/>
    <d v="2025-02-05T00:00:00"/>
    <s v="F"/>
    <x v="2"/>
    <x v="0"/>
    <x v="0"/>
    <x v="3"/>
    <x v="6"/>
    <n v="5"/>
    <x v="2"/>
  </r>
  <r>
    <s v="TX500671"/>
    <x v="12"/>
    <x v="12"/>
    <n v="38.5"/>
    <n v="154"/>
    <x v="28"/>
    <d v="2025-02-09T00:00:00"/>
    <s v="F"/>
    <x v="0"/>
    <x v="0"/>
    <x v="0"/>
    <x v="3"/>
    <x v="11"/>
    <n v="5"/>
    <x v="2"/>
  </r>
  <r>
    <s v="TX500672"/>
    <x v="7"/>
    <x v="1"/>
    <n v="105"/>
    <n v="210"/>
    <x v="28"/>
    <d v="2025-02-04T00:00:00"/>
    <s v="F"/>
    <x v="0"/>
    <x v="2"/>
    <x v="0"/>
    <x v="3"/>
    <x v="4"/>
    <n v="5"/>
    <x v="2"/>
  </r>
  <r>
    <s v="TX500673"/>
    <x v="8"/>
    <x v="9"/>
    <n v="45.2"/>
    <n v="226"/>
    <x v="28"/>
    <d v="2025-01-31T00:00:00"/>
    <s v="F"/>
    <x v="0"/>
    <x v="2"/>
    <x v="0"/>
    <x v="3"/>
    <x v="1"/>
    <n v="5"/>
    <x v="2"/>
  </r>
  <r>
    <s v="TX500674"/>
    <x v="17"/>
    <x v="2"/>
    <n v="24.8"/>
    <n v="74.400000000000006"/>
    <x v="28"/>
    <d v="2025-01-29T00:00:00"/>
    <s v=""/>
    <x v="0"/>
    <x v="1"/>
    <x v="0"/>
    <x v="3"/>
    <x v="7"/>
    <n v="5"/>
    <x v="0"/>
  </r>
  <r>
    <s v="TX500675"/>
    <x v="11"/>
    <x v="12"/>
    <n v="43.8"/>
    <n v="175.2"/>
    <x v="28"/>
    <d v="2025-02-05T00:00:00"/>
    <s v="F"/>
    <x v="1"/>
    <x v="2"/>
    <x v="0"/>
    <x v="6"/>
    <x v="6"/>
    <n v="5"/>
    <x v="2"/>
  </r>
  <r>
    <s v="TX500676"/>
    <x v="1"/>
    <x v="0"/>
    <n v="75"/>
    <n v="75"/>
    <x v="28"/>
    <d v="2025-01-31T00:00:00"/>
    <s v="F"/>
    <x v="4"/>
    <x v="1"/>
    <x v="0"/>
    <x v="6"/>
    <x v="1"/>
    <n v="5"/>
    <x v="2"/>
  </r>
  <r>
    <s v="TX500677"/>
    <x v="2"/>
    <x v="0"/>
    <n v="169.9"/>
    <n v="169.9"/>
    <x v="28"/>
    <d v="2025-01-30T00:00:00"/>
    <s v="M"/>
    <x v="2"/>
    <x v="0"/>
    <x v="0"/>
    <x v="6"/>
    <x v="3"/>
    <n v="5"/>
    <x v="1"/>
  </r>
  <r>
    <s v="TX500678"/>
    <x v="9"/>
    <x v="1"/>
    <n v="72.2"/>
    <n v="144.4"/>
    <x v="28"/>
    <d v="2025-01-31T00:00:00"/>
    <s v="F"/>
    <x v="4"/>
    <x v="1"/>
    <x v="0"/>
    <x v="6"/>
    <x v="1"/>
    <n v="5"/>
    <x v="2"/>
  </r>
  <r>
    <s v="TX500679"/>
    <x v="0"/>
    <x v="0"/>
    <n v="20"/>
    <n v="20"/>
    <x v="29"/>
    <d v="2025-02-02T00:00:00"/>
    <s v="F"/>
    <x v="2"/>
    <x v="1"/>
    <x v="0"/>
    <x v="7"/>
    <x v="2"/>
    <n v="5"/>
    <x v="2"/>
  </r>
  <r>
    <s v="TX500680"/>
    <x v="9"/>
    <x v="1"/>
    <n v="40.799999999999997"/>
    <n v="81.599999999999994"/>
    <x v="29"/>
    <d v="2025-02-01T00:00:00"/>
    <s v="F"/>
    <x v="3"/>
    <x v="2"/>
    <x v="0"/>
    <x v="8"/>
    <x v="1"/>
    <n v="5"/>
    <x v="2"/>
  </r>
  <r>
    <s v="TX500681"/>
    <x v="10"/>
    <x v="12"/>
    <n v="58"/>
    <n v="232"/>
    <x v="29"/>
    <d v="2025-02-03T00:00:00"/>
    <s v="F"/>
    <x v="0"/>
    <x v="0"/>
    <x v="0"/>
    <x v="8"/>
    <x v="5"/>
    <n v="5"/>
    <x v="2"/>
  </r>
  <r>
    <s v="TX500682"/>
    <x v="12"/>
    <x v="1"/>
    <n v="43.1"/>
    <n v="86.2"/>
    <x v="29"/>
    <d v="2025-01-31T00:00:00"/>
    <s v="F"/>
    <x v="1"/>
    <x v="2"/>
    <x v="0"/>
    <x v="8"/>
    <x v="3"/>
    <n v="5"/>
    <x v="2"/>
  </r>
  <r>
    <s v="TX500683"/>
    <x v="6"/>
    <x v="11"/>
    <n v="74.7"/>
    <n v="672.30000000000007"/>
    <x v="29"/>
    <d v="2025-02-01T00:00:00"/>
    <s v="M"/>
    <x v="0"/>
    <x v="2"/>
    <x v="0"/>
    <x v="8"/>
    <x v="1"/>
    <n v="5"/>
    <x v="1"/>
  </r>
  <r>
    <s v="TX500684"/>
    <x v="6"/>
    <x v="0"/>
    <n v="128.19999999999999"/>
    <n v="128.19999999999999"/>
    <x v="29"/>
    <d v="2025-01-30T00:00:00"/>
    <s v="M"/>
    <x v="1"/>
    <x v="0"/>
    <x v="0"/>
    <x v="8"/>
    <x v="7"/>
    <n v="5"/>
    <x v="1"/>
  </r>
  <r>
    <s v="TX500685"/>
    <x v="14"/>
    <x v="12"/>
    <n v="26.7"/>
    <n v="106.8"/>
    <x v="29"/>
    <d v="2025-01-31T00:00:00"/>
    <s v="M"/>
    <x v="1"/>
    <x v="0"/>
    <x v="0"/>
    <x v="8"/>
    <x v="3"/>
    <n v="5"/>
    <x v="1"/>
  </r>
  <r>
    <s v="TX500686"/>
    <x v="17"/>
    <x v="13"/>
    <n v="31.5"/>
    <n v="189"/>
    <x v="29"/>
    <d v="2025-01-31T00:00:00"/>
    <s v="F"/>
    <x v="2"/>
    <x v="0"/>
    <x v="0"/>
    <x v="17"/>
    <x v="3"/>
    <n v="5"/>
    <x v="2"/>
  </r>
  <r>
    <s v="TX500687"/>
    <x v="3"/>
    <x v="3"/>
    <n v="64.7"/>
    <n v="452.90000000000003"/>
    <x v="29"/>
    <d v="2025-01-31T00:00:00"/>
    <s v="F"/>
    <x v="0"/>
    <x v="2"/>
    <x v="0"/>
    <x v="9"/>
    <x v="3"/>
    <n v="5"/>
    <x v="2"/>
  </r>
  <r>
    <s v="TX500688"/>
    <x v="5"/>
    <x v="1"/>
    <n v="55.6"/>
    <n v="111.2"/>
    <x v="29"/>
    <d v="2025-02-02T00:00:00"/>
    <s v="F"/>
    <x v="3"/>
    <x v="0"/>
    <x v="0"/>
    <x v="11"/>
    <x v="2"/>
    <n v="5"/>
    <x v="2"/>
  </r>
  <r>
    <s v="TX500689"/>
    <x v="3"/>
    <x v="1"/>
    <n v="36.200000000000003"/>
    <n v="72.400000000000006"/>
    <x v="29"/>
    <d v="2025-01-31T00:00:00"/>
    <s v="F"/>
    <x v="3"/>
    <x v="0"/>
    <x v="0"/>
    <x v="11"/>
    <x v="3"/>
    <n v="5"/>
    <x v="2"/>
  </r>
  <r>
    <s v="TX500690"/>
    <x v="0"/>
    <x v="0"/>
    <n v="26.6"/>
    <n v="26.6"/>
    <x v="29"/>
    <d v="2025-01-31T00:00:00"/>
    <s v=""/>
    <x v="1"/>
    <x v="1"/>
    <x v="0"/>
    <x v="19"/>
    <x v="3"/>
    <n v="5"/>
    <x v="0"/>
  </r>
  <r>
    <s v="TX500691"/>
    <x v="10"/>
    <x v="12"/>
    <n v="31.5"/>
    <n v="126"/>
    <x v="29"/>
    <d v="2025-02-01T00:00:00"/>
    <s v="M"/>
    <x v="0"/>
    <x v="0"/>
    <x v="0"/>
    <x v="31"/>
    <x v="1"/>
    <n v="5"/>
    <x v="1"/>
  </r>
  <r>
    <s v="TX500692"/>
    <x v="10"/>
    <x v="0"/>
    <n v="27"/>
    <n v="27"/>
    <x v="29"/>
    <d v="2025-02-01T00:00:00"/>
    <s v="F"/>
    <x v="1"/>
    <x v="2"/>
    <x v="0"/>
    <x v="13"/>
    <x v="1"/>
    <n v="5"/>
    <x v="2"/>
  </r>
  <r>
    <s v="TX500693"/>
    <x v="4"/>
    <x v="0"/>
    <n v="32"/>
    <n v="32"/>
    <x v="29"/>
    <d v="2025-02-02T00:00:00"/>
    <s v="M"/>
    <x v="3"/>
    <x v="0"/>
    <x v="0"/>
    <x v="21"/>
    <x v="2"/>
    <n v="5"/>
    <x v="1"/>
  </r>
  <r>
    <s v="TX500694"/>
    <x v="1"/>
    <x v="2"/>
    <n v="48.1"/>
    <n v="144.30000000000001"/>
    <x v="29"/>
    <d v="2025-02-01T00:00:00"/>
    <s v="M"/>
    <x v="2"/>
    <x v="1"/>
    <x v="0"/>
    <x v="1"/>
    <x v="1"/>
    <n v="5"/>
    <x v="1"/>
  </r>
  <r>
    <s v="TX500695"/>
    <x v="9"/>
    <x v="1"/>
    <n v="43.4"/>
    <n v="86.8"/>
    <x v="29"/>
    <d v="2025-01-31T00:00:00"/>
    <s v="M"/>
    <x v="1"/>
    <x v="1"/>
    <x v="0"/>
    <x v="22"/>
    <x v="3"/>
    <n v="5"/>
    <x v="1"/>
  </r>
  <r>
    <s v="TX500696"/>
    <x v="6"/>
    <x v="1"/>
    <n v="42.6"/>
    <n v="85.2"/>
    <x v="29"/>
    <d v="2025-02-02T00:00:00"/>
    <s v="F"/>
    <x v="3"/>
    <x v="0"/>
    <x v="0"/>
    <x v="22"/>
    <x v="2"/>
    <n v="5"/>
    <x v="2"/>
  </r>
  <r>
    <s v="TX500697"/>
    <x v="8"/>
    <x v="1"/>
    <n v="15.9"/>
    <n v="31.8"/>
    <x v="29"/>
    <d v="2025-01-31T00:00:00"/>
    <s v="F"/>
    <x v="0"/>
    <x v="0"/>
    <x v="0"/>
    <x v="34"/>
    <x v="3"/>
    <n v="5"/>
    <x v="2"/>
  </r>
  <r>
    <s v="TX500698"/>
    <x v="9"/>
    <x v="1"/>
    <n v="63.2"/>
    <n v="126.4"/>
    <x v="29"/>
    <d v="2025-01-31T00:00:00"/>
    <s v="M"/>
    <x v="1"/>
    <x v="0"/>
    <x v="0"/>
    <x v="3"/>
    <x v="3"/>
    <n v="5"/>
    <x v="1"/>
  </r>
  <r>
    <s v="TX500699"/>
    <x v="7"/>
    <x v="12"/>
    <n v="64.8"/>
    <n v="259.2"/>
    <x v="29"/>
    <d v="2025-02-01T00:00:00"/>
    <s v=""/>
    <x v="4"/>
    <x v="1"/>
    <x v="0"/>
    <x v="3"/>
    <x v="1"/>
    <n v="5"/>
    <x v="0"/>
  </r>
  <r>
    <s v="TX500700"/>
    <x v="7"/>
    <x v="2"/>
    <n v="79.8"/>
    <n v="239.39999999999998"/>
    <x v="29"/>
    <d v="2025-01-31T00:00:00"/>
    <s v="M"/>
    <x v="0"/>
    <x v="0"/>
    <x v="0"/>
    <x v="3"/>
    <x v="3"/>
    <n v="5"/>
    <x v="1"/>
  </r>
  <r>
    <s v="TX500701"/>
    <x v="9"/>
    <x v="0"/>
    <n v="54.4"/>
    <n v="54.4"/>
    <x v="29"/>
    <d v="2025-02-01T00:00:00"/>
    <s v="F"/>
    <x v="4"/>
    <x v="2"/>
    <x v="0"/>
    <x v="3"/>
    <x v="1"/>
    <n v="5"/>
    <x v="2"/>
  </r>
  <r>
    <s v="TX500702"/>
    <x v="6"/>
    <x v="0"/>
    <n v="87.3"/>
    <n v="87.3"/>
    <x v="29"/>
    <d v="2025-01-31T00:00:00"/>
    <s v="M"/>
    <x v="1"/>
    <x v="0"/>
    <x v="0"/>
    <x v="3"/>
    <x v="3"/>
    <n v="5"/>
    <x v="1"/>
  </r>
  <r>
    <s v="TX500703"/>
    <x v="8"/>
    <x v="12"/>
    <n v="32.4"/>
    <n v="129.6"/>
    <x v="29"/>
    <d v="2025-01-30T00:00:00"/>
    <s v="M"/>
    <x v="1"/>
    <x v="0"/>
    <x v="0"/>
    <x v="3"/>
    <x v="7"/>
    <n v="5"/>
    <x v="1"/>
  </r>
  <r>
    <s v="TX500704"/>
    <x v="2"/>
    <x v="0"/>
    <n v="177.4"/>
    <n v="177.4"/>
    <x v="29"/>
    <d v="2025-02-03T00:00:00"/>
    <s v="M"/>
    <x v="0"/>
    <x v="2"/>
    <x v="0"/>
    <x v="3"/>
    <x v="5"/>
    <n v="5"/>
    <x v="1"/>
  </r>
  <r>
    <s v="TX500705"/>
    <x v="7"/>
    <x v="1"/>
    <n v="70.099999999999994"/>
    <n v="140.19999999999999"/>
    <x v="29"/>
    <d v="2025-01-31T00:00:00"/>
    <s v="M"/>
    <x v="3"/>
    <x v="1"/>
    <x v="0"/>
    <x v="3"/>
    <x v="3"/>
    <n v="5"/>
    <x v="1"/>
  </r>
  <r>
    <s v="TX500706"/>
    <x v="9"/>
    <x v="13"/>
    <n v="51.1"/>
    <n v="306.60000000000002"/>
    <x v="29"/>
    <d v="2025-01-31T00:00:00"/>
    <s v="F"/>
    <x v="0"/>
    <x v="0"/>
    <x v="0"/>
    <x v="3"/>
    <x v="3"/>
    <n v="5"/>
    <x v="2"/>
  </r>
  <r>
    <s v="TX500707"/>
    <x v="2"/>
    <x v="9"/>
    <n v="79.900000000000006"/>
    <n v="399.5"/>
    <x v="29"/>
    <d v="2025-02-01T00:00:00"/>
    <s v="M"/>
    <x v="3"/>
    <x v="2"/>
    <x v="0"/>
    <x v="24"/>
    <x v="1"/>
    <n v="5"/>
    <x v="1"/>
  </r>
  <r>
    <s v="TX500708"/>
    <x v="6"/>
    <x v="0"/>
    <n v="57.6"/>
    <n v="57.6"/>
    <x v="30"/>
    <d v="2025-02-05T00:00:00"/>
    <s v="M"/>
    <x v="0"/>
    <x v="2"/>
    <x v="0"/>
    <x v="49"/>
    <x v="0"/>
    <n v="5"/>
    <x v="1"/>
  </r>
  <r>
    <s v="TX500709"/>
    <x v="8"/>
    <x v="7"/>
    <n v="59.7"/>
    <n v="597"/>
    <x v="30"/>
    <d v="2025-02-04T00:00:00"/>
    <s v="M"/>
    <x v="2"/>
    <x v="0"/>
    <x v="0"/>
    <x v="25"/>
    <x v="5"/>
    <n v="5"/>
    <x v="1"/>
  </r>
  <r>
    <s v="TX500710"/>
    <x v="8"/>
    <x v="9"/>
    <n v="30"/>
    <n v="150"/>
    <x v="30"/>
    <d v="2025-02-02T00:00:00"/>
    <s v="M"/>
    <x v="1"/>
    <x v="0"/>
    <x v="0"/>
    <x v="6"/>
    <x v="1"/>
    <n v="5"/>
    <x v="1"/>
  </r>
  <r>
    <s v="TX500711"/>
    <x v="10"/>
    <x v="1"/>
    <n v="69.2"/>
    <n v="138.4"/>
    <x v="30"/>
    <d v="2025-02-02T00:00:00"/>
    <s v=""/>
    <x v="2"/>
    <x v="1"/>
    <x v="0"/>
    <x v="6"/>
    <x v="1"/>
    <n v="5"/>
    <x v="0"/>
  </r>
  <r>
    <s v="TX500712"/>
    <x v="0"/>
    <x v="8"/>
    <n v="10.9"/>
    <n v="87.2"/>
    <x v="30"/>
    <d v="2025-02-01T00:00:00"/>
    <s v="F"/>
    <x v="0"/>
    <x v="2"/>
    <x v="0"/>
    <x v="6"/>
    <x v="3"/>
    <n v="5"/>
    <x v="2"/>
  </r>
  <r>
    <s v="TX500713"/>
    <x v="16"/>
    <x v="1"/>
    <n v="48.6"/>
    <n v="97.2"/>
    <x v="30"/>
    <d v="2025-02-04T00:00:00"/>
    <s v="M"/>
    <x v="1"/>
    <x v="2"/>
    <x v="0"/>
    <x v="6"/>
    <x v="5"/>
    <n v="5"/>
    <x v="1"/>
  </r>
  <r>
    <s v="TX500714"/>
    <x v="2"/>
    <x v="1"/>
    <n v="61.1"/>
    <n v="122.2"/>
    <x v="30"/>
    <d v="2025-02-03T00:00:00"/>
    <s v="F"/>
    <x v="1"/>
    <x v="2"/>
    <x v="0"/>
    <x v="7"/>
    <x v="2"/>
    <n v="5"/>
    <x v="2"/>
  </r>
  <r>
    <s v="TX500715"/>
    <x v="8"/>
    <x v="1"/>
    <n v="23.2"/>
    <n v="46.4"/>
    <x v="30"/>
    <d v="2025-02-01T00:00:00"/>
    <s v="M"/>
    <x v="3"/>
    <x v="2"/>
    <x v="0"/>
    <x v="8"/>
    <x v="3"/>
    <n v="5"/>
    <x v="1"/>
  </r>
  <r>
    <s v="TX500716"/>
    <x v="12"/>
    <x v="12"/>
    <n v="55.8"/>
    <n v="223.2"/>
    <x v="30"/>
    <d v="2025-02-01T00:00:00"/>
    <s v="M"/>
    <x v="0"/>
    <x v="0"/>
    <x v="0"/>
    <x v="8"/>
    <x v="3"/>
    <n v="5"/>
    <x v="1"/>
  </r>
  <r>
    <s v="TX500717"/>
    <x v="9"/>
    <x v="12"/>
    <n v="24.8"/>
    <n v="99.2"/>
    <x v="30"/>
    <d v="2025-02-01T00:00:00"/>
    <s v="F"/>
    <x v="0"/>
    <x v="2"/>
    <x v="0"/>
    <x v="8"/>
    <x v="3"/>
    <n v="5"/>
    <x v="2"/>
  </r>
  <r>
    <s v="TX500718"/>
    <x v="10"/>
    <x v="1"/>
    <n v="27.9"/>
    <n v="55.8"/>
    <x v="30"/>
    <d v="2025-01-31T00:00:00"/>
    <s v="M"/>
    <x v="2"/>
    <x v="2"/>
    <x v="0"/>
    <x v="8"/>
    <x v="7"/>
    <n v="5"/>
    <x v="1"/>
  </r>
  <r>
    <s v="TX500719"/>
    <x v="10"/>
    <x v="13"/>
    <n v="51.1"/>
    <n v="306.60000000000002"/>
    <x v="30"/>
    <d v="2025-01-31T00:00:00"/>
    <s v="F"/>
    <x v="3"/>
    <x v="0"/>
    <x v="0"/>
    <x v="8"/>
    <x v="7"/>
    <n v="5"/>
    <x v="2"/>
  </r>
  <r>
    <s v="TX500720"/>
    <x v="17"/>
    <x v="5"/>
    <n v="32.700000000000003"/>
    <n v="359.70000000000005"/>
    <x v="30"/>
    <d v="2025-02-01T00:00:00"/>
    <s v="M"/>
    <x v="4"/>
    <x v="2"/>
    <x v="0"/>
    <x v="17"/>
    <x v="3"/>
    <n v="5"/>
    <x v="1"/>
  </r>
  <r>
    <s v="TX500721"/>
    <x v="8"/>
    <x v="12"/>
    <n v="22.5"/>
    <n v="90"/>
    <x v="30"/>
    <d v="2025-01-31T00:00:00"/>
    <s v="M"/>
    <x v="0"/>
    <x v="2"/>
    <x v="0"/>
    <x v="26"/>
    <x v="7"/>
    <n v="5"/>
    <x v="1"/>
  </r>
  <r>
    <s v="TX500722"/>
    <x v="0"/>
    <x v="3"/>
    <n v="14.6"/>
    <n v="102.2"/>
    <x v="30"/>
    <d v="2025-02-01T00:00:00"/>
    <s v="F"/>
    <x v="2"/>
    <x v="0"/>
    <x v="0"/>
    <x v="41"/>
    <x v="3"/>
    <n v="5"/>
    <x v="2"/>
  </r>
  <r>
    <s v="TX500723"/>
    <x v="5"/>
    <x v="2"/>
    <n v="32.5"/>
    <n v="97.5"/>
    <x v="30"/>
    <d v="2025-02-03T00:00:00"/>
    <s v="M"/>
    <x v="0"/>
    <x v="0"/>
    <x v="0"/>
    <x v="10"/>
    <x v="2"/>
    <n v="5"/>
    <x v="1"/>
  </r>
  <r>
    <s v="TX500724"/>
    <x v="18"/>
    <x v="0"/>
    <n v="78.099999999999994"/>
    <n v="78.099999999999994"/>
    <x v="30"/>
    <d v="2025-02-03T00:00:00"/>
    <s v="M"/>
    <x v="0"/>
    <x v="2"/>
    <x v="0"/>
    <x v="11"/>
    <x v="2"/>
    <n v="5"/>
    <x v="1"/>
  </r>
  <r>
    <s v="TX500725"/>
    <x v="12"/>
    <x v="13"/>
    <n v="110.2"/>
    <n v="661.2"/>
    <x v="30"/>
    <d v="2025-01-31T00:00:00"/>
    <s v="M"/>
    <x v="1"/>
    <x v="4"/>
    <x v="0"/>
    <x v="13"/>
    <x v="7"/>
    <n v="5"/>
    <x v="1"/>
  </r>
  <r>
    <s v="TX500726"/>
    <x v="6"/>
    <x v="2"/>
    <n v="86.3"/>
    <n v="258.89999999999998"/>
    <x v="30"/>
    <d v="2025-02-02T00:00:00"/>
    <s v="F"/>
    <x v="3"/>
    <x v="0"/>
    <x v="0"/>
    <x v="21"/>
    <x v="1"/>
    <n v="5"/>
    <x v="2"/>
  </r>
  <r>
    <s v="TX500727"/>
    <x v="1"/>
    <x v="13"/>
    <n v="73.599999999999994"/>
    <n v="441.59999999999997"/>
    <x v="30"/>
    <d v="2025-02-02T00:00:00"/>
    <s v="O"/>
    <x v="3"/>
    <x v="4"/>
    <x v="0"/>
    <x v="44"/>
    <x v="1"/>
    <n v="5"/>
    <x v="3"/>
  </r>
  <r>
    <s v="TX500728"/>
    <x v="6"/>
    <x v="15"/>
    <n v="67.7"/>
    <n v="880.1"/>
    <x v="30"/>
    <d v="2025-02-02T00:00:00"/>
    <s v="F"/>
    <x v="0"/>
    <x v="2"/>
    <x v="0"/>
    <x v="3"/>
    <x v="1"/>
    <n v="5"/>
    <x v="2"/>
  </r>
  <r>
    <s v="TX500729"/>
    <x v="7"/>
    <x v="13"/>
    <n v="142.19999999999999"/>
    <n v="853.19999999999993"/>
    <x v="30"/>
    <d v="2025-02-01T00:00:00"/>
    <s v="F"/>
    <x v="2"/>
    <x v="4"/>
    <x v="0"/>
    <x v="3"/>
    <x v="3"/>
    <n v="5"/>
    <x v="2"/>
  </r>
  <r>
    <s v="TX500730"/>
    <x v="1"/>
    <x v="11"/>
    <n v="45.8"/>
    <n v="412.2"/>
    <x v="30"/>
    <d v="2025-02-02T00:00:00"/>
    <s v="F"/>
    <x v="1"/>
    <x v="2"/>
    <x v="0"/>
    <x v="3"/>
    <x v="1"/>
    <n v="5"/>
    <x v="2"/>
  </r>
  <r>
    <s v="TX500731"/>
    <x v="10"/>
    <x v="1"/>
    <n v="24.2"/>
    <n v="48.4"/>
    <x v="31"/>
    <d v="2025-02-04T00:00:00"/>
    <s v="F"/>
    <x v="3"/>
    <x v="2"/>
    <x v="0"/>
    <x v="3"/>
    <x v="2"/>
    <n v="5"/>
    <x v="2"/>
  </r>
  <r>
    <s v="TX500732"/>
    <x v="2"/>
    <x v="2"/>
    <n v="144.9"/>
    <n v="434.70000000000005"/>
    <x v="31"/>
    <d v="2025-02-02T00:00:00"/>
    <s v="O"/>
    <x v="2"/>
    <x v="2"/>
    <x v="0"/>
    <x v="3"/>
    <x v="3"/>
    <n v="5"/>
    <x v="3"/>
  </r>
  <r>
    <s v="TX500733"/>
    <x v="11"/>
    <x v="9"/>
    <n v="32.799999999999997"/>
    <n v="164"/>
    <x v="31"/>
    <d v="2025-02-04T00:00:00"/>
    <s v="F"/>
    <x v="2"/>
    <x v="0"/>
    <x v="0"/>
    <x v="23"/>
    <x v="2"/>
    <n v="5"/>
    <x v="2"/>
  </r>
  <r>
    <s v="TX500734"/>
    <x v="7"/>
    <x v="7"/>
    <n v="35.700000000000003"/>
    <n v="357"/>
    <x v="31"/>
    <d v="2025-02-01T00:00:00"/>
    <s v="F"/>
    <x v="0"/>
    <x v="1"/>
    <x v="0"/>
    <x v="6"/>
    <x v="7"/>
    <n v="5"/>
    <x v="2"/>
  </r>
  <r>
    <s v="TX500735"/>
    <x v="9"/>
    <x v="1"/>
    <n v="54.6"/>
    <n v="109.2"/>
    <x v="31"/>
    <d v="2025-02-02T00:00:00"/>
    <s v="F"/>
    <x v="2"/>
    <x v="0"/>
    <x v="0"/>
    <x v="6"/>
    <x v="3"/>
    <n v="5"/>
    <x v="2"/>
  </r>
  <r>
    <s v="TX500736"/>
    <x v="8"/>
    <x v="1"/>
    <n v="35.700000000000003"/>
    <n v="71.400000000000006"/>
    <x v="31"/>
    <d v="2025-02-04T00:00:00"/>
    <s v=""/>
    <x v="0"/>
    <x v="1"/>
    <x v="0"/>
    <x v="6"/>
    <x v="2"/>
    <n v="5"/>
    <x v="0"/>
  </r>
  <r>
    <s v="TX500737"/>
    <x v="10"/>
    <x v="1"/>
    <n v="52.4"/>
    <n v="104.8"/>
    <x v="31"/>
    <d v="2025-02-01T00:00:00"/>
    <s v="F"/>
    <x v="0"/>
    <x v="3"/>
    <x v="0"/>
    <x v="6"/>
    <x v="7"/>
    <n v="5"/>
    <x v="2"/>
  </r>
  <r>
    <s v="TX500738"/>
    <x v="8"/>
    <x v="21"/>
    <n v="16.2"/>
    <n v="226.79999999999998"/>
    <x v="31"/>
    <d v="2025-02-02T00:00:00"/>
    <s v=""/>
    <x v="0"/>
    <x v="1"/>
    <x v="0"/>
    <x v="8"/>
    <x v="3"/>
    <n v="5"/>
    <x v="0"/>
  </r>
  <r>
    <s v="TX500739"/>
    <x v="6"/>
    <x v="35"/>
    <n v="42.8"/>
    <n v="2011.6"/>
    <x v="31"/>
    <d v="2025-02-02T00:00:00"/>
    <s v="F"/>
    <x v="0"/>
    <x v="0"/>
    <x v="0"/>
    <x v="8"/>
    <x v="3"/>
    <n v="5"/>
    <x v="2"/>
  </r>
  <r>
    <s v="TX500740"/>
    <x v="6"/>
    <x v="11"/>
    <n v="144.4"/>
    <n v="1299.6000000000001"/>
    <x v="31"/>
    <d v="2025-02-04T00:00:00"/>
    <s v="F"/>
    <x v="4"/>
    <x v="0"/>
    <x v="0"/>
    <x v="8"/>
    <x v="2"/>
    <n v="5"/>
    <x v="2"/>
  </r>
  <r>
    <s v="TX500741"/>
    <x v="3"/>
    <x v="34"/>
    <n v="30.6"/>
    <n v="1101.6000000000001"/>
    <x v="31"/>
    <d v="2025-02-05T00:00:00"/>
    <s v="F"/>
    <x v="2"/>
    <x v="2"/>
    <x v="0"/>
    <x v="11"/>
    <x v="5"/>
    <n v="5"/>
    <x v="2"/>
  </r>
  <r>
    <s v="TX500742"/>
    <x v="2"/>
    <x v="1"/>
    <n v="117.5"/>
    <n v="235"/>
    <x v="31"/>
    <d v="2025-02-02T00:00:00"/>
    <s v="M"/>
    <x v="0"/>
    <x v="0"/>
    <x v="0"/>
    <x v="19"/>
    <x v="3"/>
    <n v="5"/>
    <x v="1"/>
  </r>
  <r>
    <s v="TX500743"/>
    <x v="6"/>
    <x v="1"/>
    <n v="105.7"/>
    <n v="211.4"/>
    <x v="31"/>
    <d v="2025-02-02T00:00:00"/>
    <s v="F"/>
    <x v="2"/>
    <x v="2"/>
    <x v="0"/>
    <x v="21"/>
    <x v="3"/>
    <n v="5"/>
    <x v="2"/>
  </r>
  <r>
    <s v="TX500744"/>
    <x v="3"/>
    <x v="2"/>
    <n v="133.69999999999999"/>
    <n v="401.09999999999997"/>
    <x v="31"/>
    <d v="2025-02-02T00:00:00"/>
    <s v=""/>
    <x v="4"/>
    <x v="2"/>
    <x v="0"/>
    <x v="21"/>
    <x v="3"/>
    <n v="5"/>
    <x v="0"/>
  </r>
  <r>
    <s v="TX500745"/>
    <x v="4"/>
    <x v="9"/>
    <n v="46.8"/>
    <n v="234"/>
    <x v="32"/>
    <d v="2025-02-10T00:00:00"/>
    <s v="F"/>
    <x v="0"/>
    <x v="1"/>
    <x v="0"/>
    <x v="21"/>
    <x v="9"/>
    <n v="6"/>
    <x v="2"/>
  </r>
  <r>
    <s v="TX500746"/>
    <x v="10"/>
    <x v="2"/>
    <n v="58.4"/>
    <n v="175.2"/>
    <x v="32"/>
    <d v="2025-02-04T00:00:00"/>
    <s v="F"/>
    <x v="0"/>
    <x v="0"/>
    <x v="0"/>
    <x v="1"/>
    <x v="1"/>
    <n v="6"/>
    <x v="2"/>
  </r>
  <r>
    <s v="TX500747"/>
    <x v="6"/>
    <x v="11"/>
    <n v="65.099999999999994"/>
    <n v="585.9"/>
    <x v="32"/>
    <d v="2025-02-06T00:00:00"/>
    <s v="M"/>
    <x v="1"/>
    <x v="2"/>
    <x v="0"/>
    <x v="22"/>
    <x v="5"/>
    <n v="6"/>
    <x v="1"/>
  </r>
  <r>
    <s v="TX500748"/>
    <x v="8"/>
    <x v="0"/>
    <n v="18.600000000000001"/>
    <n v="18.600000000000001"/>
    <x v="32"/>
    <d v="2025-02-05T00:00:00"/>
    <s v="F"/>
    <x v="0"/>
    <x v="4"/>
    <x v="0"/>
    <x v="22"/>
    <x v="2"/>
    <n v="6"/>
    <x v="2"/>
  </r>
  <r>
    <s v="TX500749"/>
    <x v="1"/>
    <x v="5"/>
    <n v="92.3"/>
    <n v="1015.3"/>
    <x v="32"/>
    <d v="2025-02-04T00:00:00"/>
    <s v="M"/>
    <x v="1"/>
    <x v="0"/>
    <x v="0"/>
    <x v="3"/>
    <x v="1"/>
    <n v="6"/>
    <x v="1"/>
  </r>
  <r>
    <s v="TX500750"/>
    <x v="6"/>
    <x v="2"/>
    <n v="81.7"/>
    <n v="245.10000000000002"/>
    <x v="32"/>
    <d v="2025-02-03T00:00:00"/>
    <s v=""/>
    <x v="4"/>
    <x v="4"/>
    <x v="0"/>
    <x v="3"/>
    <x v="3"/>
    <n v="6"/>
    <x v="0"/>
  </r>
  <r>
    <s v="TX500751"/>
    <x v="8"/>
    <x v="1"/>
    <n v="40.9"/>
    <n v="81.8"/>
    <x v="32"/>
    <d v="2025-02-04T00:00:00"/>
    <s v="M"/>
    <x v="0"/>
    <x v="1"/>
    <x v="0"/>
    <x v="3"/>
    <x v="1"/>
    <n v="6"/>
    <x v="1"/>
  </r>
  <r>
    <s v="TX500752"/>
    <x v="6"/>
    <x v="12"/>
    <n v="43.2"/>
    <n v="172.8"/>
    <x v="32"/>
    <d v="2025-02-08T00:00:00"/>
    <s v="F"/>
    <x v="0"/>
    <x v="1"/>
    <x v="0"/>
    <x v="3"/>
    <x v="4"/>
    <n v="6"/>
    <x v="2"/>
  </r>
  <r>
    <s v="TX500753"/>
    <x v="8"/>
    <x v="5"/>
    <n v="25.8"/>
    <n v="283.8"/>
    <x v="32"/>
    <d v="2025-02-05T00:00:00"/>
    <s v="M"/>
    <x v="2"/>
    <x v="1"/>
    <x v="0"/>
    <x v="3"/>
    <x v="2"/>
    <n v="6"/>
    <x v="1"/>
  </r>
  <r>
    <s v="TX500754"/>
    <x v="15"/>
    <x v="12"/>
    <n v="36.4"/>
    <n v="145.6"/>
    <x v="32"/>
    <d v="2025-02-03T00:00:00"/>
    <s v="M"/>
    <x v="0"/>
    <x v="0"/>
    <x v="0"/>
    <x v="3"/>
    <x v="3"/>
    <n v="6"/>
    <x v="1"/>
  </r>
  <r>
    <s v="TX500755"/>
    <x v="10"/>
    <x v="0"/>
    <n v="59.1"/>
    <n v="59.1"/>
    <x v="32"/>
    <d v="2025-02-03T00:00:00"/>
    <s v="F"/>
    <x v="2"/>
    <x v="0"/>
    <x v="0"/>
    <x v="7"/>
    <x v="3"/>
    <n v="6"/>
    <x v="2"/>
  </r>
  <r>
    <s v="TX500756"/>
    <x v="2"/>
    <x v="14"/>
    <n v="74.5"/>
    <n v="1266.5"/>
    <x v="32"/>
    <d v="2025-02-04T00:00:00"/>
    <s v="M"/>
    <x v="4"/>
    <x v="0"/>
    <x v="0"/>
    <x v="18"/>
    <x v="1"/>
    <n v="6"/>
    <x v="1"/>
  </r>
  <r>
    <s v="TX500757"/>
    <x v="5"/>
    <x v="0"/>
    <n v="72.8"/>
    <n v="72.8"/>
    <x v="32"/>
    <d v="2025-02-03T00:00:00"/>
    <s v="F"/>
    <x v="0"/>
    <x v="1"/>
    <x v="0"/>
    <x v="19"/>
    <x v="3"/>
    <n v="6"/>
    <x v="2"/>
  </r>
  <r>
    <s v="TX500758"/>
    <x v="6"/>
    <x v="12"/>
    <n v="137.30000000000001"/>
    <n v="549.20000000000005"/>
    <x v="32"/>
    <d v="2025-02-05T00:00:00"/>
    <s v="F"/>
    <x v="0"/>
    <x v="0"/>
    <x v="0"/>
    <x v="13"/>
    <x v="2"/>
    <n v="6"/>
    <x v="2"/>
  </r>
  <r>
    <s v="TX500759"/>
    <x v="1"/>
    <x v="2"/>
    <n v="48.7"/>
    <n v="146.10000000000002"/>
    <x v="32"/>
    <d v="2025-02-07T00:00:00"/>
    <s v="F"/>
    <x v="0"/>
    <x v="1"/>
    <x v="0"/>
    <x v="21"/>
    <x v="0"/>
    <n v="6"/>
    <x v="2"/>
  </r>
  <r>
    <s v="TX500760"/>
    <x v="6"/>
    <x v="12"/>
    <n v="53.7"/>
    <n v="214.8"/>
    <x v="32"/>
    <d v="2025-02-06T00:00:00"/>
    <s v="M"/>
    <x v="1"/>
    <x v="4"/>
    <x v="0"/>
    <x v="2"/>
    <x v="5"/>
    <n v="6"/>
    <x v="1"/>
  </r>
  <r>
    <s v="TX500761"/>
    <x v="2"/>
    <x v="3"/>
    <n v="100.9"/>
    <n v="706.30000000000007"/>
    <x v="32"/>
    <d v="2025-02-04T00:00:00"/>
    <s v="F"/>
    <x v="0"/>
    <x v="1"/>
    <x v="0"/>
    <x v="2"/>
    <x v="1"/>
    <n v="6"/>
    <x v="2"/>
  </r>
  <r>
    <s v="TX500762"/>
    <x v="10"/>
    <x v="1"/>
    <n v="41.8"/>
    <n v="83.6"/>
    <x v="32"/>
    <d v="2025-02-06T00:00:00"/>
    <s v="M"/>
    <x v="3"/>
    <x v="2"/>
    <x v="0"/>
    <x v="22"/>
    <x v="5"/>
    <n v="6"/>
    <x v="1"/>
  </r>
  <r>
    <s v="TX500763"/>
    <x v="4"/>
    <x v="8"/>
    <n v="28.5"/>
    <n v="228"/>
    <x v="32"/>
    <d v="2025-02-04T00:00:00"/>
    <s v="M"/>
    <x v="2"/>
    <x v="1"/>
    <x v="0"/>
    <x v="3"/>
    <x v="1"/>
    <n v="6"/>
    <x v="1"/>
  </r>
  <r>
    <s v="TX500764"/>
    <x v="7"/>
    <x v="12"/>
    <n v="88.9"/>
    <n v="355.6"/>
    <x v="32"/>
    <d v="2025-02-05T00:00:00"/>
    <s v="F"/>
    <x v="0"/>
    <x v="2"/>
    <x v="0"/>
    <x v="3"/>
    <x v="2"/>
    <n v="6"/>
    <x v="2"/>
  </r>
  <r>
    <s v="TX500765"/>
    <x v="6"/>
    <x v="0"/>
    <n v="62.5"/>
    <n v="62.5"/>
    <x v="32"/>
    <d v="2025-02-11T00:00:00"/>
    <s v="F"/>
    <x v="0"/>
    <x v="2"/>
    <x v="0"/>
    <x v="3"/>
    <x v="8"/>
    <n v="6"/>
    <x v="2"/>
  </r>
  <r>
    <s v="TX500766"/>
    <x v="1"/>
    <x v="2"/>
    <n v="46.9"/>
    <n v="140.69999999999999"/>
    <x v="32"/>
    <d v="2025-02-03T00:00:00"/>
    <s v="M"/>
    <x v="0"/>
    <x v="2"/>
    <x v="0"/>
    <x v="3"/>
    <x v="3"/>
    <n v="6"/>
    <x v="1"/>
  </r>
  <r>
    <s v="TX500767"/>
    <x v="8"/>
    <x v="2"/>
    <n v="45"/>
    <n v="135"/>
    <x v="32"/>
    <d v="2025-02-16T00:00:00"/>
    <s v="M"/>
    <x v="1"/>
    <x v="0"/>
    <x v="0"/>
    <x v="3"/>
    <x v="12"/>
    <n v="6"/>
    <x v="1"/>
  </r>
  <r>
    <s v="TX500768"/>
    <x v="6"/>
    <x v="2"/>
    <n v="45.2"/>
    <n v="135.60000000000002"/>
    <x v="32"/>
    <d v="2025-02-04T00:00:00"/>
    <s v="M"/>
    <x v="4"/>
    <x v="2"/>
    <x v="0"/>
    <x v="3"/>
    <x v="1"/>
    <n v="6"/>
    <x v="1"/>
  </r>
  <r>
    <s v="TX500769"/>
    <x v="4"/>
    <x v="1"/>
    <n v="60.1"/>
    <n v="120.2"/>
    <x v="32"/>
    <d v="2025-02-03T00:00:00"/>
    <s v="F"/>
    <x v="0"/>
    <x v="2"/>
    <x v="0"/>
    <x v="3"/>
    <x v="3"/>
    <n v="6"/>
    <x v="2"/>
  </r>
  <r>
    <s v="TX500770"/>
    <x v="12"/>
    <x v="12"/>
    <n v="118.7"/>
    <n v="474.8"/>
    <x v="32"/>
    <d v="2025-02-04T00:00:00"/>
    <s v="F"/>
    <x v="0"/>
    <x v="0"/>
    <x v="0"/>
    <x v="3"/>
    <x v="1"/>
    <n v="6"/>
    <x v="2"/>
  </r>
  <r>
    <s v="TX500771"/>
    <x v="9"/>
    <x v="0"/>
    <n v="57.8"/>
    <n v="57.8"/>
    <x v="32"/>
    <d v="2025-02-11T00:00:00"/>
    <s v="F"/>
    <x v="1"/>
    <x v="0"/>
    <x v="0"/>
    <x v="3"/>
    <x v="8"/>
    <n v="6"/>
    <x v="2"/>
  </r>
  <r>
    <s v="TX500772"/>
    <x v="4"/>
    <x v="0"/>
    <n v="19.5"/>
    <n v="19.5"/>
    <x v="32"/>
    <d v="2025-02-03T00:00:00"/>
    <s v="M"/>
    <x v="1"/>
    <x v="1"/>
    <x v="0"/>
    <x v="3"/>
    <x v="3"/>
    <n v="6"/>
    <x v="1"/>
  </r>
  <r>
    <s v="TX500773"/>
    <x v="12"/>
    <x v="0"/>
    <n v="42.6"/>
    <n v="42.6"/>
    <x v="32"/>
    <d v="2025-02-03T00:00:00"/>
    <s v="M"/>
    <x v="0"/>
    <x v="1"/>
    <x v="0"/>
    <x v="3"/>
    <x v="3"/>
    <n v="6"/>
    <x v="1"/>
  </r>
  <r>
    <s v="TX500774"/>
    <x v="6"/>
    <x v="1"/>
    <n v="74.8"/>
    <n v="149.6"/>
    <x v="32"/>
    <d v="2025-02-03T00:00:00"/>
    <s v="F"/>
    <x v="3"/>
    <x v="2"/>
    <x v="0"/>
    <x v="37"/>
    <x v="3"/>
    <n v="6"/>
    <x v="2"/>
  </r>
  <r>
    <s v="TX500775"/>
    <x v="8"/>
    <x v="2"/>
    <n v="32.5"/>
    <n v="97.5"/>
    <x v="32"/>
    <d v="2025-02-03T00:00:00"/>
    <s v="M"/>
    <x v="2"/>
    <x v="4"/>
    <x v="0"/>
    <x v="16"/>
    <x v="3"/>
    <n v="6"/>
    <x v="1"/>
  </r>
  <r>
    <s v="TX500776"/>
    <x v="2"/>
    <x v="2"/>
    <n v="60.5"/>
    <n v="181.5"/>
    <x v="32"/>
    <d v="2025-02-02T00:00:00"/>
    <s v="F"/>
    <x v="1"/>
    <x v="2"/>
    <x v="0"/>
    <x v="25"/>
    <x v="7"/>
    <n v="6"/>
    <x v="2"/>
  </r>
  <r>
    <s v="TX500777"/>
    <x v="1"/>
    <x v="3"/>
    <n v="57.2"/>
    <n v="400.40000000000003"/>
    <x v="32"/>
    <d v="2025-02-04T00:00:00"/>
    <s v=""/>
    <x v="2"/>
    <x v="0"/>
    <x v="0"/>
    <x v="25"/>
    <x v="1"/>
    <n v="6"/>
    <x v="0"/>
  </r>
  <r>
    <s v="TX500778"/>
    <x v="16"/>
    <x v="1"/>
    <n v="112"/>
    <n v="224"/>
    <x v="32"/>
    <d v="2025-02-03T00:00:00"/>
    <s v="F"/>
    <x v="1"/>
    <x v="1"/>
    <x v="0"/>
    <x v="5"/>
    <x v="3"/>
    <n v="6"/>
    <x v="2"/>
  </r>
  <r>
    <s v="TX500779"/>
    <x v="7"/>
    <x v="7"/>
    <n v="49"/>
    <n v="490"/>
    <x v="32"/>
    <d v="2025-02-03T00:00:00"/>
    <s v="O"/>
    <x v="2"/>
    <x v="1"/>
    <x v="0"/>
    <x v="6"/>
    <x v="3"/>
    <n v="6"/>
    <x v="3"/>
  </r>
  <r>
    <s v="TX500780"/>
    <x v="0"/>
    <x v="1"/>
    <n v="33.700000000000003"/>
    <n v="67.400000000000006"/>
    <x v="32"/>
    <d v="2025-02-06T00:00:00"/>
    <s v="F"/>
    <x v="3"/>
    <x v="0"/>
    <x v="0"/>
    <x v="6"/>
    <x v="5"/>
    <n v="6"/>
    <x v="2"/>
  </r>
  <r>
    <s v="TX500781"/>
    <x v="4"/>
    <x v="2"/>
    <n v="35.6"/>
    <n v="106.80000000000001"/>
    <x v="32"/>
    <d v="2025-02-05T00:00:00"/>
    <s v="F"/>
    <x v="0"/>
    <x v="2"/>
    <x v="0"/>
    <x v="6"/>
    <x v="2"/>
    <n v="6"/>
    <x v="2"/>
  </r>
  <r>
    <s v="TX500782"/>
    <x v="4"/>
    <x v="36"/>
    <n v="30.4"/>
    <n v="1064"/>
    <x v="33"/>
    <d v="2025-02-03T00:00:00"/>
    <s v="F"/>
    <x v="0"/>
    <x v="1"/>
    <x v="0"/>
    <x v="7"/>
    <x v="7"/>
    <n v="6"/>
    <x v="2"/>
  </r>
  <r>
    <s v="TX500783"/>
    <x v="10"/>
    <x v="4"/>
    <n v="50.2"/>
    <n v="602.40000000000009"/>
    <x v="33"/>
    <d v="2025-02-04T00:00:00"/>
    <s v="M"/>
    <x v="4"/>
    <x v="0"/>
    <x v="0"/>
    <x v="8"/>
    <x v="3"/>
    <n v="6"/>
    <x v="1"/>
  </r>
  <r>
    <s v="TX500784"/>
    <x v="1"/>
    <x v="1"/>
    <n v="43.7"/>
    <n v="87.4"/>
    <x v="33"/>
    <d v="2025-02-05T00:00:00"/>
    <s v="F"/>
    <x v="0"/>
    <x v="0"/>
    <x v="0"/>
    <x v="8"/>
    <x v="1"/>
    <n v="6"/>
    <x v="2"/>
  </r>
  <r>
    <s v="TX500785"/>
    <x v="10"/>
    <x v="0"/>
    <n v="33.299999999999997"/>
    <n v="33.299999999999997"/>
    <x v="33"/>
    <d v="2025-02-04T00:00:00"/>
    <s v="F"/>
    <x v="2"/>
    <x v="1"/>
    <x v="0"/>
    <x v="8"/>
    <x v="3"/>
    <n v="6"/>
    <x v="2"/>
  </r>
  <r>
    <s v="TX500786"/>
    <x v="8"/>
    <x v="12"/>
    <n v="15.1"/>
    <n v="60.4"/>
    <x v="33"/>
    <d v="2025-02-05T00:00:00"/>
    <s v="F"/>
    <x v="4"/>
    <x v="2"/>
    <x v="0"/>
    <x v="8"/>
    <x v="1"/>
    <n v="6"/>
    <x v="2"/>
  </r>
  <r>
    <s v="TX500787"/>
    <x v="6"/>
    <x v="9"/>
    <n v="118.2"/>
    <n v="591"/>
    <x v="33"/>
    <d v="2025-02-04T00:00:00"/>
    <s v="F"/>
    <x v="3"/>
    <x v="4"/>
    <x v="0"/>
    <x v="8"/>
    <x v="3"/>
    <n v="6"/>
    <x v="2"/>
  </r>
  <r>
    <s v="TX500788"/>
    <x v="10"/>
    <x v="2"/>
    <n v="28.9"/>
    <n v="86.699999999999989"/>
    <x v="33"/>
    <d v="2025-02-05T00:00:00"/>
    <s v="F"/>
    <x v="2"/>
    <x v="1"/>
    <x v="0"/>
    <x v="8"/>
    <x v="1"/>
    <n v="6"/>
    <x v="2"/>
  </r>
  <r>
    <s v="TX500789"/>
    <x v="4"/>
    <x v="2"/>
    <n v="55.6"/>
    <n v="166.8"/>
    <x v="33"/>
    <d v="2025-02-04T00:00:00"/>
    <s v="M"/>
    <x v="0"/>
    <x v="1"/>
    <x v="0"/>
    <x v="8"/>
    <x v="3"/>
    <n v="6"/>
    <x v="1"/>
  </r>
  <r>
    <s v="TX500790"/>
    <x v="9"/>
    <x v="12"/>
    <n v="25.6"/>
    <n v="102.4"/>
    <x v="33"/>
    <d v="2025-02-05T00:00:00"/>
    <s v="F"/>
    <x v="0"/>
    <x v="1"/>
    <x v="0"/>
    <x v="8"/>
    <x v="1"/>
    <n v="6"/>
    <x v="2"/>
  </r>
  <r>
    <s v="TX500791"/>
    <x v="7"/>
    <x v="2"/>
    <n v="31.3"/>
    <n v="93.9"/>
    <x v="33"/>
    <d v="2025-02-04T00:00:00"/>
    <s v="M"/>
    <x v="0"/>
    <x v="0"/>
    <x v="0"/>
    <x v="17"/>
    <x v="3"/>
    <n v="6"/>
    <x v="1"/>
  </r>
  <r>
    <s v="TX500792"/>
    <x v="0"/>
    <x v="2"/>
    <n v="22.1"/>
    <n v="66.300000000000011"/>
    <x v="33"/>
    <d v="2025-02-07T00:00:00"/>
    <s v="M"/>
    <x v="0"/>
    <x v="0"/>
    <x v="0"/>
    <x v="17"/>
    <x v="5"/>
    <n v="6"/>
    <x v="1"/>
  </r>
  <r>
    <s v="TX500793"/>
    <x v="2"/>
    <x v="21"/>
    <n v="99.4"/>
    <n v="1391.6000000000001"/>
    <x v="33"/>
    <d v="2025-02-04T00:00:00"/>
    <s v="M"/>
    <x v="1"/>
    <x v="0"/>
    <x v="0"/>
    <x v="11"/>
    <x v="3"/>
    <n v="6"/>
    <x v="1"/>
  </r>
  <r>
    <s v="TX500794"/>
    <x v="7"/>
    <x v="13"/>
    <n v="66.599999999999994"/>
    <n v="399.59999999999997"/>
    <x v="33"/>
    <d v="2025-02-04T00:00:00"/>
    <s v="F"/>
    <x v="0"/>
    <x v="0"/>
    <x v="0"/>
    <x v="11"/>
    <x v="3"/>
    <n v="6"/>
    <x v="2"/>
  </r>
  <r>
    <s v="TX500795"/>
    <x v="8"/>
    <x v="1"/>
    <n v="22.6"/>
    <n v="45.2"/>
    <x v="33"/>
    <d v="2025-02-06T00:00:00"/>
    <s v="M"/>
    <x v="0"/>
    <x v="0"/>
    <x v="0"/>
    <x v="11"/>
    <x v="2"/>
    <n v="6"/>
    <x v="1"/>
  </r>
  <r>
    <s v="TX500796"/>
    <x v="2"/>
    <x v="16"/>
    <n v="66.8"/>
    <n v="1202.3999999999999"/>
    <x v="33"/>
    <d v="2025-02-04T00:00:00"/>
    <s v="F"/>
    <x v="0"/>
    <x v="4"/>
    <x v="0"/>
    <x v="13"/>
    <x v="3"/>
    <n v="6"/>
    <x v="2"/>
  </r>
  <r>
    <s v="TX500797"/>
    <x v="0"/>
    <x v="12"/>
    <n v="20.8"/>
    <n v="83.2"/>
    <x v="33"/>
    <d v="2025-02-10T00:00:00"/>
    <s v="M"/>
    <x v="1"/>
    <x v="4"/>
    <x v="0"/>
    <x v="1"/>
    <x v="6"/>
    <n v="6"/>
    <x v="1"/>
  </r>
  <r>
    <s v="TX500798"/>
    <x v="2"/>
    <x v="3"/>
    <n v="102.5"/>
    <n v="717.5"/>
    <x v="33"/>
    <d v="2025-02-04T00:00:00"/>
    <s v="F"/>
    <x v="4"/>
    <x v="2"/>
    <x v="0"/>
    <x v="3"/>
    <x v="3"/>
    <n v="6"/>
    <x v="2"/>
  </r>
  <r>
    <s v="TX500799"/>
    <x v="0"/>
    <x v="16"/>
    <n v="24.8"/>
    <n v="446.40000000000003"/>
    <x v="33"/>
    <d v="2025-02-07T00:00:00"/>
    <s v="F"/>
    <x v="0"/>
    <x v="0"/>
    <x v="0"/>
    <x v="3"/>
    <x v="5"/>
    <n v="6"/>
    <x v="2"/>
  </r>
  <r>
    <s v="TX500800"/>
    <x v="4"/>
    <x v="37"/>
    <n v="31.4"/>
    <n v="973.4"/>
    <x v="33"/>
    <d v="2025-02-04T00:00:00"/>
    <s v="F"/>
    <x v="3"/>
    <x v="0"/>
    <x v="0"/>
    <x v="3"/>
    <x v="3"/>
    <n v="6"/>
    <x v="2"/>
  </r>
  <r>
    <s v="TX500801"/>
    <x v="9"/>
    <x v="9"/>
    <n v="59.3"/>
    <n v="296.5"/>
    <x v="33"/>
    <d v="2025-02-06T00:00:00"/>
    <s v="M"/>
    <x v="1"/>
    <x v="2"/>
    <x v="0"/>
    <x v="43"/>
    <x v="2"/>
    <n v="6"/>
    <x v="1"/>
  </r>
  <r>
    <s v="TX500802"/>
    <x v="11"/>
    <x v="13"/>
    <n v="39"/>
    <n v="234"/>
    <x v="33"/>
    <d v="2025-02-06T00:00:00"/>
    <s v="M"/>
    <x v="1"/>
    <x v="0"/>
    <x v="0"/>
    <x v="6"/>
    <x v="2"/>
    <n v="6"/>
    <x v="1"/>
  </r>
  <r>
    <s v="TX500803"/>
    <x v="5"/>
    <x v="13"/>
    <n v="98.6"/>
    <n v="591.59999999999991"/>
    <x v="33"/>
    <d v="2025-02-05T00:00:00"/>
    <s v="F"/>
    <x v="1"/>
    <x v="0"/>
    <x v="0"/>
    <x v="6"/>
    <x v="1"/>
    <n v="6"/>
    <x v="2"/>
  </r>
  <r>
    <s v="TX500804"/>
    <x v="8"/>
    <x v="0"/>
    <n v="20"/>
    <n v="20"/>
    <x v="34"/>
    <d v="2025-02-05T00:00:00"/>
    <s v="M"/>
    <x v="3"/>
    <x v="2"/>
    <x v="0"/>
    <x v="8"/>
    <x v="3"/>
    <n v="6"/>
    <x v="1"/>
  </r>
  <r>
    <s v="TX500805"/>
    <x v="1"/>
    <x v="1"/>
    <n v="42.9"/>
    <n v="85.8"/>
    <x v="34"/>
    <d v="2025-02-06T00:00:00"/>
    <s v="F"/>
    <x v="0"/>
    <x v="2"/>
    <x v="0"/>
    <x v="8"/>
    <x v="1"/>
    <n v="6"/>
    <x v="2"/>
  </r>
  <r>
    <s v="TX500806"/>
    <x v="7"/>
    <x v="3"/>
    <n v="55.6"/>
    <n v="389.2"/>
    <x v="34"/>
    <d v="2025-02-06T00:00:00"/>
    <s v="F"/>
    <x v="2"/>
    <x v="1"/>
    <x v="0"/>
    <x v="8"/>
    <x v="1"/>
    <n v="6"/>
    <x v="2"/>
  </r>
  <r>
    <s v="TX500807"/>
    <x v="8"/>
    <x v="12"/>
    <n v="19.2"/>
    <n v="76.8"/>
    <x v="34"/>
    <d v="2025-02-09T00:00:00"/>
    <s v="F"/>
    <x v="0"/>
    <x v="0"/>
    <x v="0"/>
    <x v="41"/>
    <x v="0"/>
    <n v="6"/>
    <x v="2"/>
  </r>
  <r>
    <s v="TX500808"/>
    <x v="5"/>
    <x v="1"/>
    <n v="28.8"/>
    <n v="57.6"/>
    <x v="34"/>
    <d v="2025-02-06T00:00:00"/>
    <s v="M"/>
    <x v="1"/>
    <x v="0"/>
    <x v="0"/>
    <x v="18"/>
    <x v="1"/>
    <n v="6"/>
    <x v="1"/>
  </r>
  <r>
    <s v="TX500809"/>
    <x v="4"/>
    <x v="0"/>
    <n v="29.7"/>
    <n v="29.7"/>
    <x v="34"/>
    <d v="2025-02-06T00:00:00"/>
    <s v="F"/>
    <x v="2"/>
    <x v="4"/>
    <x v="0"/>
    <x v="20"/>
    <x v="1"/>
    <n v="6"/>
    <x v="2"/>
  </r>
  <r>
    <s v="TX500810"/>
    <x v="6"/>
    <x v="13"/>
    <n v="63.3"/>
    <n v="379.79999999999995"/>
    <x v="34"/>
    <d v="2025-02-05T00:00:00"/>
    <s v=""/>
    <x v="0"/>
    <x v="2"/>
    <x v="0"/>
    <x v="21"/>
    <x v="3"/>
    <n v="6"/>
    <x v="0"/>
  </r>
  <r>
    <s v="TX500811"/>
    <x v="4"/>
    <x v="0"/>
    <n v="46"/>
    <n v="46"/>
    <x v="34"/>
    <d v="2025-02-05T00:00:00"/>
    <s v="F"/>
    <x v="0"/>
    <x v="2"/>
    <x v="0"/>
    <x v="21"/>
    <x v="3"/>
    <n v="6"/>
    <x v="2"/>
  </r>
  <r>
    <s v="TX500812"/>
    <x v="11"/>
    <x v="2"/>
    <n v="38"/>
    <n v="114"/>
    <x v="34"/>
    <d v="2025-02-06T00:00:00"/>
    <s v="F"/>
    <x v="1"/>
    <x v="2"/>
    <x v="0"/>
    <x v="21"/>
    <x v="1"/>
    <n v="6"/>
    <x v="2"/>
  </r>
  <r>
    <s v="TX500813"/>
    <x v="10"/>
    <x v="15"/>
    <n v="34.6"/>
    <n v="449.8"/>
    <x v="34"/>
    <d v="2025-02-06T00:00:00"/>
    <s v="F"/>
    <x v="0"/>
    <x v="1"/>
    <x v="0"/>
    <x v="21"/>
    <x v="1"/>
    <n v="6"/>
    <x v="2"/>
  </r>
  <r>
    <s v="TX500814"/>
    <x v="3"/>
    <x v="7"/>
    <n v="79.7"/>
    <n v="797"/>
    <x v="34"/>
    <d v="2025-02-05T00:00:00"/>
    <s v="F"/>
    <x v="4"/>
    <x v="1"/>
    <x v="0"/>
    <x v="21"/>
    <x v="3"/>
    <n v="6"/>
    <x v="2"/>
  </r>
  <r>
    <s v="TX500815"/>
    <x v="8"/>
    <x v="8"/>
    <n v="30.5"/>
    <n v="244"/>
    <x v="34"/>
    <d v="2025-02-08T00:00:00"/>
    <s v="M"/>
    <x v="3"/>
    <x v="0"/>
    <x v="0"/>
    <x v="1"/>
    <x v="5"/>
    <n v="6"/>
    <x v="1"/>
  </r>
  <r>
    <s v="TX500816"/>
    <x v="0"/>
    <x v="1"/>
    <n v="20.8"/>
    <n v="41.6"/>
    <x v="34"/>
    <d v="2025-02-05T00:00:00"/>
    <s v="F"/>
    <x v="0"/>
    <x v="0"/>
    <x v="0"/>
    <x v="2"/>
    <x v="3"/>
    <n v="6"/>
    <x v="2"/>
  </r>
  <r>
    <s v="TX500817"/>
    <x v="11"/>
    <x v="3"/>
    <n v="48.5"/>
    <n v="339.5"/>
    <x v="34"/>
    <d v="2025-02-08T00:00:00"/>
    <s v="F"/>
    <x v="2"/>
    <x v="2"/>
    <x v="0"/>
    <x v="2"/>
    <x v="5"/>
    <n v="6"/>
    <x v="2"/>
  </r>
  <r>
    <s v="TX500818"/>
    <x v="2"/>
    <x v="12"/>
    <n v="61.8"/>
    <n v="247.2"/>
    <x v="34"/>
    <d v="2025-02-08T00:00:00"/>
    <s v="F"/>
    <x v="4"/>
    <x v="0"/>
    <x v="0"/>
    <x v="22"/>
    <x v="5"/>
    <n v="6"/>
    <x v="2"/>
  </r>
  <r>
    <s v="TX500819"/>
    <x v="10"/>
    <x v="0"/>
    <n v="46.1"/>
    <n v="46.1"/>
    <x v="34"/>
    <d v="2025-02-05T00:00:00"/>
    <s v="O"/>
    <x v="2"/>
    <x v="0"/>
    <x v="0"/>
    <x v="3"/>
    <x v="3"/>
    <n v="6"/>
    <x v="3"/>
  </r>
  <r>
    <s v="TX500820"/>
    <x v="4"/>
    <x v="13"/>
    <n v="44"/>
    <n v="264"/>
    <x v="34"/>
    <d v="2025-02-05T00:00:00"/>
    <s v="F"/>
    <x v="0"/>
    <x v="0"/>
    <x v="0"/>
    <x v="3"/>
    <x v="3"/>
    <n v="6"/>
    <x v="2"/>
  </r>
  <r>
    <s v="TX500821"/>
    <x v="18"/>
    <x v="1"/>
    <n v="95.7"/>
    <n v="191.4"/>
    <x v="34"/>
    <d v="2025-02-10T00:00:00"/>
    <s v="F"/>
    <x v="3"/>
    <x v="2"/>
    <x v="0"/>
    <x v="3"/>
    <x v="4"/>
    <n v="6"/>
    <x v="2"/>
  </r>
  <r>
    <s v="TX500822"/>
    <x v="7"/>
    <x v="9"/>
    <n v="46.4"/>
    <n v="232"/>
    <x v="34"/>
    <d v="2025-02-07T00:00:00"/>
    <s v="F"/>
    <x v="0"/>
    <x v="0"/>
    <x v="0"/>
    <x v="3"/>
    <x v="2"/>
    <n v="6"/>
    <x v="2"/>
  </r>
  <r>
    <s v="TX500823"/>
    <x v="6"/>
    <x v="1"/>
    <n v="47.2"/>
    <n v="94.4"/>
    <x v="34"/>
    <d v="2025-02-06T00:00:00"/>
    <s v="F"/>
    <x v="0"/>
    <x v="2"/>
    <x v="0"/>
    <x v="3"/>
    <x v="1"/>
    <n v="6"/>
    <x v="2"/>
  </r>
  <r>
    <s v="TX500824"/>
    <x v="7"/>
    <x v="1"/>
    <n v="58.6"/>
    <n v="117.2"/>
    <x v="34"/>
    <d v="2025-02-05T00:00:00"/>
    <s v="F"/>
    <x v="2"/>
    <x v="1"/>
    <x v="0"/>
    <x v="3"/>
    <x v="3"/>
    <n v="6"/>
    <x v="2"/>
  </r>
  <r>
    <s v="TX500825"/>
    <x v="4"/>
    <x v="2"/>
    <n v="57"/>
    <n v="171"/>
    <x v="34"/>
    <d v="2025-02-05T00:00:00"/>
    <s v="M"/>
    <x v="0"/>
    <x v="2"/>
    <x v="0"/>
    <x v="3"/>
    <x v="3"/>
    <n v="6"/>
    <x v="1"/>
  </r>
  <r>
    <s v="TX500826"/>
    <x v="8"/>
    <x v="12"/>
    <n v="28.9"/>
    <n v="115.6"/>
    <x v="34"/>
    <d v="2025-02-08T00:00:00"/>
    <s v="M"/>
    <x v="2"/>
    <x v="0"/>
    <x v="0"/>
    <x v="3"/>
    <x v="5"/>
    <n v="6"/>
    <x v="1"/>
  </r>
  <r>
    <s v="TX500827"/>
    <x v="12"/>
    <x v="9"/>
    <n v="60.7"/>
    <n v="303.5"/>
    <x v="34"/>
    <d v="2025-02-08T00:00:00"/>
    <s v=""/>
    <x v="1"/>
    <x v="1"/>
    <x v="0"/>
    <x v="3"/>
    <x v="5"/>
    <n v="6"/>
    <x v="0"/>
  </r>
  <r>
    <s v="TX500828"/>
    <x v="6"/>
    <x v="9"/>
    <n v="60.8"/>
    <n v="304"/>
    <x v="34"/>
    <d v="2025-02-08T00:00:00"/>
    <s v="M"/>
    <x v="0"/>
    <x v="1"/>
    <x v="0"/>
    <x v="3"/>
    <x v="5"/>
    <n v="6"/>
    <x v="1"/>
  </r>
  <r>
    <s v="TX500829"/>
    <x v="6"/>
    <x v="9"/>
    <n v="64.599999999999994"/>
    <n v="323"/>
    <x v="34"/>
    <d v="2025-02-05T00:00:00"/>
    <s v="F"/>
    <x v="3"/>
    <x v="0"/>
    <x v="0"/>
    <x v="3"/>
    <x v="3"/>
    <n v="6"/>
    <x v="2"/>
  </r>
  <r>
    <s v="TX500830"/>
    <x v="8"/>
    <x v="0"/>
    <n v="21.9"/>
    <n v="21.9"/>
    <x v="34"/>
    <d v="2025-02-07T00:00:00"/>
    <s v="M"/>
    <x v="1"/>
    <x v="2"/>
    <x v="0"/>
    <x v="4"/>
    <x v="2"/>
    <n v="6"/>
    <x v="1"/>
  </r>
  <r>
    <s v="TX500831"/>
    <x v="4"/>
    <x v="4"/>
    <n v="33.4"/>
    <n v="400.79999999999995"/>
    <x v="34"/>
    <d v="2025-02-06T00:00:00"/>
    <s v="F"/>
    <x v="0"/>
    <x v="0"/>
    <x v="0"/>
    <x v="23"/>
    <x v="1"/>
    <n v="6"/>
    <x v="2"/>
  </r>
  <r>
    <s v="TX500832"/>
    <x v="2"/>
    <x v="0"/>
    <n v="51.7"/>
    <n v="51.7"/>
    <x v="34"/>
    <d v="2025-02-05T00:00:00"/>
    <s v=""/>
    <x v="0"/>
    <x v="0"/>
    <x v="0"/>
    <x v="6"/>
    <x v="3"/>
    <n v="6"/>
    <x v="0"/>
  </r>
  <r>
    <s v="TX500833"/>
    <x v="1"/>
    <x v="12"/>
    <n v="84.9"/>
    <n v="339.6"/>
    <x v="34"/>
    <d v="2025-02-05T00:00:00"/>
    <s v="F"/>
    <x v="1"/>
    <x v="1"/>
    <x v="0"/>
    <x v="6"/>
    <x v="3"/>
    <n v="6"/>
    <x v="2"/>
  </r>
  <r>
    <s v="TX500834"/>
    <x v="1"/>
    <x v="5"/>
    <n v="62.3"/>
    <n v="685.3"/>
    <x v="34"/>
    <d v="2025-02-05T00:00:00"/>
    <s v="F"/>
    <x v="2"/>
    <x v="2"/>
    <x v="0"/>
    <x v="7"/>
    <x v="3"/>
    <n v="6"/>
    <x v="2"/>
  </r>
  <r>
    <s v="TX500835"/>
    <x v="4"/>
    <x v="0"/>
    <n v="50.7"/>
    <n v="50.7"/>
    <x v="34"/>
    <d v="2025-02-06T00:00:00"/>
    <s v="M"/>
    <x v="2"/>
    <x v="2"/>
    <x v="0"/>
    <x v="8"/>
    <x v="1"/>
    <n v="6"/>
    <x v="1"/>
  </r>
  <r>
    <s v="TX500836"/>
    <x v="18"/>
    <x v="0"/>
    <n v="39.5"/>
    <n v="39.5"/>
    <x v="34"/>
    <d v="2025-02-05T00:00:00"/>
    <s v="M"/>
    <x v="4"/>
    <x v="1"/>
    <x v="0"/>
    <x v="8"/>
    <x v="3"/>
    <n v="6"/>
    <x v="1"/>
  </r>
  <r>
    <s v="TX500837"/>
    <x v="12"/>
    <x v="2"/>
    <n v="30.9"/>
    <n v="92.699999999999989"/>
    <x v="34"/>
    <d v="2025-02-05T00:00:00"/>
    <s v=""/>
    <x v="4"/>
    <x v="2"/>
    <x v="0"/>
    <x v="8"/>
    <x v="3"/>
    <n v="6"/>
    <x v="0"/>
  </r>
  <r>
    <s v="TX500838"/>
    <x v="1"/>
    <x v="3"/>
    <n v="36.4"/>
    <n v="254.79999999999998"/>
    <x v="34"/>
    <d v="2025-02-07T00:00:00"/>
    <s v="F"/>
    <x v="0"/>
    <x v="2"/>
    <x v="0"/>
    <x v="8"/>
    <x v="2"/>
    <n v="6"/>
    <x v="2"/>
  </r>
  <r>
    <s v="TX500839"/>
    <x v="6"/>
    <x v="8"/>
    <n v="105.6"/>
    <n v="844.8"/>
    <x v="34"/>
    <d v="2025-02-14T00:00:00"/>
    <s v="F"/>
    <x v="0"/>
    <x v="0"/>
    <x v="0"/>
    <x v="8"/>
    <x v="14"/>
    <n v="6"/>
    <x v="2"/>
  </r>
  <r>
    <s v="TX500840"/>
    <x v="8"/>
    <x v="1"/>
    <n v="22.1"/>
    <n v="44.2"/>
    <x v="34"/>
    <d v="2025-02-05T00:00:00"/>
    <s v="F"/>
    <x v="0"/>
    <x v="2"/>
    <x v="0"/>
    <x v="17"/>
    <x v="3"/>
    <n v="6"/>
    <x v="2"/>
  </r>
  <r>
    <s v="TX500841"/>
    <x v="0"/>
    <x v="2"/>
    <n v="22.6"/>
    <n v="67.800000000000011"/>
    <x v="34"/>
    <d v="2025-02-05T00:00:00"/>
    <s v="F"/>
    <x v="2"/>
    <x v="0"/>
    <x v="0"/>
    <x v="17"/>
    <x v="3"/>
    <n v="6"/>
    <x v="2"/>
  </r>
  <r>
    <s v="TX500842"/>
    <x v="10"/>
    <x v="13"/>
    <n v="26.3"/>
    <n v="157.80000000000001"/>
    <x v="34"/>
    <d v="2025-02-04T00:00:00"/>
    <s v="F"/>
    <x v="2"/>
    <x v="0"/>
    <x v="0"/>
    <x v="9"/>
    <x v="7"/>
    <n v="6"/>
    <x v="2"/>
  </r>
  <r>
    <s v="TX500843"/>
    <x v="1"/>
    <x v="12"/>
    <n v="37.799999999999997"/>
    <n v="151.19999999999999"/>
    <x v="34"/>
    <d v="2025-02-05T00:00:00"/>
    <s v="F"/>
    <x v="0"/>
    <x v="2"/>
    <x v="0"/>
    <x v="11"/>
    <x v="3"/>
    <n v="6"/>
    <x v="2"/>
  </r>
  <r>
    <s v="TX500844"/>
    <x v="6"/>
    <x v="14"/>
    <n v="96"/>
    <n v="1632"/>
    <x v="34"/>
    <d v="2025-02-07T00:00:00"/>
    <s v="F"/>
    <x v="4"/>
    <x v="1"/>
    <x v="0"/>
    <x v="18"/>
    <x v="2"/>
    <n v="6"/>
    <x v="2"/>
  </r>
  <r>
    <s v="TX500845"/>
    <x v="1"/>
    <x v="0"/>
    <n v="83.6"/>
    <n v="83.6"/>
    <x v="34"/>
    <d v="2025-02-07T00:00:00"/>
    <s v="F"/>
    <x v="2"/>
    <x v="1"/>
    <x v="0"/>
    <x v="19"/>
    <x v="2"/>
    <n v="6"/>
    <x v="2"/>
  </r>
  <r>
    <s v="TX500846"/>
    <x v="2"/>
    <x v="13"/>
    <n v="72.599999999999994"/>
    <n v="435.59999999999997"/>
    <x v="34"/>
    <d v="2025-02-05T00:00:00"/>
    <s v="F"/>
    <x v="0"/>
    <x v="0"/>
    <x v="0"/>
    <x v="21"/>
    <x v="3"/>
    <n v="6"/>
    <x v="2"/>
  </r>
  <r>
    <s v="TX500847"/>
    <x v="5"/>
    <x v="28"/>
    <n v="69.099999999999994"/>
    <n v="1382"/>
    <x v="35"/>
    <d v="2025-02-11T00:00:00"/>
    <s v="M"/>
    <x v="0"/>
    <x v="2"/>
    <x v="0"/>
    <x v="21"/>
    <x v="4"/>
    <n v="6"/>
    <x v="1"/>
  </r>
  <r>
    <s v="TX500848"/>
    <x v="4"/>
    <x v="1"/>
    <n v="22.6"/>
    <n v="45.2"/>
    <x v="35"/>
    <d v="2025-02-07T00:00:00"/>
    <s v="F"/>
    <x v="1"/>
    <x v="2"/>
    <x v="0"/>
    <x v="21"/>
    <x v="1"/>
    <n v="6"/>
    <x v="2"/>
  </r>
  <r>
    <s v="TX500849"/>
    <x v="6"/>
    <x v="1"/>
    <n v="45.3"/>
    <n v="90.6"/>
    <x v="35"/>
    <d v="2025-02-09T00:00:00"/>
    <s v="M"/>
    <x v="4"/>
    <x v="2"/>
    <x v="0"/>
    <x v="21"/>
    <x v="5"/>
    <n v="6"/>
    <x v="1"/>
  </r>
  <r>
    <s v="TX500850"/>
    <x v="2"/>
    <x v="1"/>
    <n v="115.1"/>
    <n v="230.2"/>
    <x v="35"/>
    <d v="2025-02-06T00:00:00"/>
    <s v="F"/>
    <x v="1"/>
    <x v="0"/>
    <x v="0"/>
    <x v="1"/>
    <x v="3"/>
    <n v="6"/>
    <x v="2"/>
  </r>
  <r>
    <s v="TX500851"/>
    <x v="18"/>
    <x v="12"/>
    <n v="79"/>
    <n v="316"/>
    <x v="35"/>
    <d v="2025-02-07T00:00:00"/>
    <s v="M"/>
    <x v="2"/>
    <x v="4"/>
    <x v="0"/>
    <x v="1"/>
    <x v="1"/>
    <n v="6"/>
    <x v="1"/>
  </r>
  <r>
    <s v="TX500852"/>
    <x v="6"/>
    <x v="9"/>
    <n v="52.8"/>
    <n v="264"/>
    <x v="35"/>
    <d v="2025-02-06T00:00:00"/>
    <s v="F"/>
    <x v="0"/>
    <x v="0"/>
    <x v="0"/>
    <x v="42"/>
    <x v="3"/>
    <n v="6"/>
    <x v="2"/>
  </r>
  <r>
    <s v="TX500853"/>
    <x v="8"/>
    <x v="1"/>
    <n v="34.1"/>
    <n v="68.2"/>
    <x v="35"/>
    <d v="2025-02-06T00:00:00"/>
    <s v="M"/>
    <x v="3"/>
    <x v="2"/>
    <x v="0"/>
    <x v="44"/>
    <x v="3"/>
    <n v="6"/>
    <x v="1"/>
  </r>
  <r>
    <s v="TX500854"/>
    <x v="6"/>
    <x v="9"/>
    <n v="107.9"/>
    <n v="539.5"/>
    <x v="35"/>
    <d v="2025-02-05T00:00:00"/>
    <s v="F"/>
    <x v="0"/>
    <x v="2"/>
    <x v="0"/>
    <x v="50"/>
    <x v="7"/>
    <n v="6"/>
    <x v="2"/>
  </r>
  <r>
    <s v="TX500855"/>
    <x v="8"/>
    <x v="15"/>
    <n v="48.5"/>
    <n v="630.5"/>
    <x v="35"/>
    <d v="2025-02-05T00:00:00"/>
    <s v="M"/>
    <x v="2"/>
    <x v="2"/>
    <x v="0"/>
    <x v="3"/>
    <x v="7"/>
    <n v="6"/>
    <x v="1"/>
  </r>
  <r>
    <s v="TX500856"/>
    <x v="5"/>
    <x v="2"/>
    <n v="34.700000000000003"/>
    <n v="104.10000000000001"/>
    <x v="35"/>
    <d v="2025-02-06T00:00:00"/>
    <s v=""/>
    <x v="4"/>
    <x v="1"/>
    <x v="0"/>
    <x v="3"/>
    <x v="3"/>
    <n v="6"/>
    <x v="0"/>
  </r>
  <r>
    <s v="TX500857"/>
    <x v="8"/>
    <x v="0"/>
    <n v="16.8"/>
    <n v="16.8"/>
    <x v="35"/>
    <d v="2025-02-07T00:00:00"/>
    <s v="F"/>
    <x v="3"/>
    <x v="0"/>
    <x v="0"/>
    <x v="3"/>
    <x v="1"/>
    <n v="6"/>
    <x v="2"/>
  </r>
  <r>
    <s v="TX500858"/>
    <x v="8"/>
    <x v="13"/>
    <n v="18.3"/>
    <n v="109.80000000000001"/>
    <x v="35"/>
    <d v="2025-02-08T00:00:00"/>
    <s v="F"/>
    <x v="0"/>
    <x v="0"/>
    <x v="0"/>
    <x v="3"/>
    <x v="2"/>
    <n v="6"/>
    <x v="2"/>
  </r>
  <r>
    <s v="TX500859"/>
    <x v="18"/>
    <x v="2"/>
    <n v="55.9"/>
    <n v="167.7"/>
    <x v="35"/>
    <d v="2025-02-11T00:00:00"/>
    <s v="M"/>
    <x v="3"/>
    <x v="1"/>
    <x v="0"/>
    <x v="3"/>
    <x v="4"/>
    <n v="6"/>
    <x v="1"/>
  </r>
  <r>
    <s v="TX500860"/>
    <x v="8"/>
    <x v="2"/>
    <n v="39.200000000000003"/>
    <n v="117.60000000000001"/>
    <x v="35"/>
    <d v="2025-02-07T00:00:00"/>
    <s v="F"/>
    <x v="0"/>
    <x v="1"/>
    <x v="0"/>
    <x v="3"/>
    <x v="1"/>
    <n v="6"/>
    <x v="2"/>
  </r>
  <r>
    <s v="TX500861"/>
    <x v="15"/>
    <x v="12"/>
    <n v="66.5"/>
    <n v="266"/>
    <x v="35"/>
    <d v="2025-02-07T00:00:00"/>
    <s v=""/>
    <x v="3"/>
    <x v="1"/>
    <x v="0"/>
    <x v="3"/>
    <x v="1"/>
    <n v="6"/>
    <x v="0"/>
  </r>
  <r>
    <s v="TX500862"/>
    <x v="6"/>
    <x v="13"/>
    <n v="52.1"/>
    <n v="312.60000000000002"/>
    <x v="35"/>
    <d v="2025-02-07T00:00:00"/>
    <s v="M"/>
    <x v="1"/>
    <x v="1"/>
    <x v="0"/>
    <x v="16"/>
    <x v="1"/>
    <n v="6"/>
    <x v="1"/>
  </r>
  <r>
    <s v="TX500863"/>
    <x v="8"/>
    <x v="1"/>
    <n v="19"/>
    <n v="38"/>
    <x v="35"/>
    <d v="2025-02-06T00:00:00"/>
    <s v="M"/>
    <x v="4"/>
    <x v="2"/>
    <x v="0"/>
    <x v="6"/>
    <x v="3"/>
    <n v="6"/>
    <x v="1"/>
  </r>
  <r>
    <s v="TX500864"/>
    <x v="7"/>
    <x v="2"/>
    <n v="84.8"/>
    <n v="254.39999999999998"/>
    <x v="35"/>
    <d v="2025-02-07T00:00:00"/>
    <s v="F"/>
    <x v="2"/>
    <x v="0"/>
    <x v="0"/>
    <x v="8"/>
    <x v="1"/>
    <n v="6"/>
    <x v="2"/>
  </r>
  <r>
    <s v="TX500865"/>
    <x v="2"/>
    <x v="12"/>
    <n v="63.9"/>
    <n v="255.6"/>
    <x v="35"/>
    <d v="2025-02-08T00:00:00"/>
    <s v="F"/>
    <x v="0"/>
    <x v="0"/>
    <x v="0"/>
    <x v="8"/>
    <x v="2"/>
    <n v="6"/>
    <x v="2"/>
  </r>
  <r>
    <s v="TX500866"/>
    <x v="2"/>
    <x v="2"/>
    <n v="65.5"/>
    <n v="196.5"/>
    <x v="35"/>
    <d v="2025-02-05T00:00:00"/>
    <s v="F"/>
    <x v="1"/>
    <x v="1"/>
    <x v="0"/>
    <x v="8"/>
    <x v="7"/>
    <n v="6"/>
    <x v="2"/>
  </r>
  <r>
    <s v="TX500867"/>
    <x v="12"/>
    <x v="1"/>
    <n v="116.2"/>
    <n v="232.4"/>
    <x v="35"/>
    <d v="2025-02-11T00:00:00"/>
    <s v="M"/>
    <x v="3"/>
    <x v="0"/>
    <x v="0"/>
    <x v="17"/>
    <x v="4"/>
    <n v="6"/>
    <x v="1"/>
  </r>
  <r>
    <s v="TX500868"/>
    <x v="10"/>
    <x v="12"/>
    <n v="22.9"/>
    <n v="91.6"/>
    <x v="35"/>
    <d v="2025-02-07T00:00:00"/>
    <s v="F"/>
    <x v="2"/>
    <x v="1"/>
    <x v="0"/>
    <x v="38"/>
    <x v="1"/>
    <n v="6"/>
    <x v="2"/>
  </r>
  <r>
    <s v="TX500869"/>
    <x v="10"/>
    <x v="2"/>
    <n v="53.7"/>
    <n v="161.10000000000002"/>
    <x v="35"/>
    <d v="2025-02-06T00:00:00"/>
    <s v="M"/>
    <x v="0"/>
    <x v="4"/>
    <x v="0"/>
    <x v="18"/>
    <x v="3"/>
    <n v="6"/>
    <x v="1"/>
  </r>
  <r>
    <s v="TX500870"/>
    <x v="6"/>
    <x v="9"/>
    <n v="43.2"/>
    <n v="216"/>
    <x v="35"/>
    <d v="2025-02-07T00:00:00"/>
    <s v="F"/>
    <x v="0"/>
    <x v="0"/>
    <x v="0"/>
    <x v="19"/>
    <x v="1"/>
    <n v="6"/>
    <x v="2"/>
  </r>
  <r>
    <s v="TX500871"/>
    <x v="1"/>
    <x v="2"/>
    <n v="84.5"/>
    <n v="253.5"/>
    <x v="35"/>
    <d v="2025-02-07T00:00:00"/>
    <s v="M"/>
    <x v="2"/>
    <x v="2"/>
    <x v="0"/>
    <x v="51"/>
    <x v="1"/>
    <n v="6"/>
    <x v="1"/>
  </r>
  <r>
    <s v="TX500872"/>
    <x v="3"/>
    <x v="1"/>
    <n v="42.2"/>
    <n v="84.4"/>
    <x v="35"/>
    <d v="2025-02-06T00:00:00"/>
    <s v="F"/>
    <x v="1"/>
    <x v="2"/>
    <x v="0"/>
    <x v="1"/>
    <x v="3"/>
    <n v="6"/>
    <x v="2"/>
  </r>
  <r>
    <s v="TX500873"/>
    <x v="2"/>
    <x v="13"/>
    <n v="94.7"/>
    <n v="568.20000000000005"/>
    <x v="35"/>
    <d v="2025-02-08T00:00:00"/>
    <s v="F"/>
    <x v="1"/>
    <x v="2"/>
    <x v="0"/>
    <x v="2"/>
    <x v="2"/>
    <n v="6"/>
    <x v="2"/>
  </r>
  <r>
    <s v="TX500874"/>
    <x v="8"/>
    <x v="16"/>
    <n v="16.7"/>
    <n v="300.59999999999997"/>
    <x v="35"/>
    <d v="2025-02-17T00:00:00"/>
    <s v="F"/>
    <x v="0"/>
    <x v="2"/>
    <x v="0"/>
    <x v="2"/>
    <x v="13"/>
    <n v="6"/>
    <x v="2"/>
  </r>
  <r>
    <s v="TX500875"/>
    <x v="2"/>
    <x v="1"/>
    <n v="83.6"/>
    <n v="167.2"/>
    <x v="35"/>
    <d v="2025-02-11T00:00:00"/>
    <s v="F"/>
    <x v="1"/>
    <x v="0"/>
    <x v="0"/>
    <x v="3"/>
    <x v="4"/>
    <n v="6"/>
    <x v="2"/>
  </r>
  <r>
    <s v="TX500876"/>
    <x v="7"/>
    <x v="13"/>
    <n v="33.6"/>
    <n v="201.60000000000002"/>
    <x v="36"/>
    <d v="2025-02-07T00:00:00"/>
    <s v="F"/>
    <x v="3"/>
    <x v="0"/>
    <x v="0"/>
    <x v="3"/>
    <x v="3"/>
    <n v="6"/>
    <x v="2"/>
  </r>
  <r>
    <s v="TX500877"/>
    <x v="7"/>
    <x v="1"/>
    <n v="64.7"/>
    <n v="129.4"/>
    <x v="36"/>
    <d v="2025-02-08T00:00:00"/>
    <s v="M"/>
    <x v="1"/>
    <x v="2"/>
    <x v="0"/>
    <x v="3"/>
    <x v="1"/>
    <n v="6"/>
    <x v="1"/>
  </r>
  <r>
    <s v="TX500878"/>
    <x v="0"/>
    <x v="2"/>
    <n v="15.7"/>
    <n v="47.099999999999994"/>
    <x v="36"/>
    <d v="2025-02-12T00:00:00"/>
    <s v="F"/>
    <x v="0"/>
    <x v="0"/>
    <x v="0"/>
    <x v="3"/>
    <x v="4"/>
    <n v="6"/>
    <x v="2"/>
  </r>
  <r>
    <s v="TX500879"/>
    <x v="15"/>
    <x v="13"/>
    <n v="49.4"/>
    <n v="296.39999999999998"/>
    <x v="36"/>
    <d v="2025-02-06T00:00:00"/>
    <s v="M"/>
    <x v="1"/>
    <x v="0"/>
    <x v="0"/>
    <x v="3"/>
    <x v="7"/>
    <n v="6"/>
    <x v="1"/>
  </r>
  <r>
    <s v="TX500880"/>
    <x v="10"/>
    <x v="13"/>
    <n v="37"/>
    <n v="222"/>
    <x v="36"/>
    <d v="2025-02-09T00:00:00"/>
    <s v="F"/>
    <x v="1"/>
    <x v="2"/>
    <x v="0"/>
    <x v="3"/>
    <x v="2"/>
    <n v="6"/>
    <x v="2"/>
  </r>
  <r>
    <s v="TX500881"/>
    <x v="2"/>
    <x v="1"/>
    <n v="83.7"/>
    <n v="167.4"/>
    <x v="36"/>
    <d v="2025-02-08T00:00:00"/>
    <s v="F"/>
    <x v="3"/>
    <x v="2"/>
    <x v="0"/>
    <x v="3"/>
    <x v="1"/>
    <n v="6"/>
    <x v="2"/>
  </r>
  <r>
    <s v="TX500882"/>
    <x v="1"/>
    <x v="9"/>
    <n v="35.1"/>
    <n v="175.5"/>
    <x v="36"/>
    <d v="2025-02-07T00:00:00"/>
    <s v="F"/>
    <x v="0"/>
    <x v="0"/>
    <x v="0"/>
    <x v="3"/>
    <x v="3"/>
    <n v="6"/>
    <x v="2"/>
  </r>
  <r>
    <s v="TX500883"/>
    <x v="16"/>
    <x v="8"/>
    <n v="74"/>
    <n v="592"/>
    <x v="36"/>
    <d v="2025-02-07T00:00:00"/>
    <s v="F"/>
    <x v="4"/>
    <x v="0"/>
    <x v="0"/>
    <x v="37"/>
    <x v="3"/>
    <n v="6"/>
    <x v="2"/>
  </r>
  <r>
    <s v="TX500884"/>
    <x v="6"/>
    <x v="25"/>
    <n v="55.5"/>
    <n v="1332"/>
    <x v="36"/>
    <d v="2025-02-09T00:00:00"/>
    <s v="M"/>
    <x v="3"/>
    <x v="0"/>
    <x v="0"/>
    <x v="49"/>
    <x v="2"/>
    <n v="6"/>
    <x v="1"/>
  </r>
  <r>
    <s v="TX500885"/>
    <x v="11"/>
    <x v="1"/>
    <n v="38.9"/>
    <n v="77.8"/>
    <x v="36"/>
    <d v="2025-02-08T00:00:00"/>
    <s v="F"/>
    <x v="1"/>
    <x v="2"/>
    <x v="0"/>
    <x v="25"/>
    <x v="1"/>
    <n v="6"/>
    <x v="2"/>
  </r>
  <r>
    <s v="TX500886"/>
    <x v="16"/>
    <x v="1"/>
    <n v="64.599999999999994"/>
    <n v="129.19999999999999"/>
    <x v="36"/>
    <d v="2025-02-13T00:00:00"/>
    <s v="M"/>
    <x v="2"/>
    <x v="1"/>
    <x v="0"/>
    <x v="25"/>
    <x v="6"/>
    <n v="6"/>
    <x v="1"/>
  </r>
  <r>
    <s v="TX500887"/>
    <x v="2"/>
    <x v="2"/>
    <n v="95.3"/>
    <n v="285.89999999999998"/>
    <x v="36"/>
    <d v="2025-02-07T00:00:00"/>
    <s v="M"/>
    <x v="0"/>
    <x v="0"/>
    <x v="0"/>
    <x v="5"/>
    <x v="3"/>
    <n v="6"/>
    <x v="1"/>
  </r>
  <r>
    <s v="TX500888"/>
    <x v="13"/>
    <x v="2"/>
    <n v="25.8"/>
    <n v="77.400000000000006"/>
    <x v="36"/>
    <d v="2025-02-07T00:00:00"/>
    <s v="F"/>
    <x v="1"/>
    <x v="1"/>
    <x v="0"/>
    <x v="6"/>
    <x v="3"/>
    <n v="6"/>
    <x v="2"/>
  </r>
  <r>
    <s v="TX500889"/>
    <x v="0"/>
    <x v="1"/>
    <n v="11.6"/>
    <n v="23.2"/>
    <x v="36"/>
    <d v="2025-02-10T00:00:00"/>
    <s v="F"/>
    <x v="1"/>
    <x v="1"/>
    <x v="0"/>
    <x v="6"/>
    <x v="5"/>
    <n v="6"/>
    <x v="2"/>
  </r>
  <r>
    <s v="TX500890"/>
    <x v="7"/>
    <x v="0"/>
    <n v="52.3"/>
    <n v="52.3"/>
    <x v="36"/>
    <d v="2025-02-07T00:00:00"/>
    <s v="F"/>
    <x v="1"/>
    <x v="0"/>
    <x v="0"/>
    <x v="8"/>
    <x v="3"/>
    <n v="6"/>
    <x v="2"/>
  </r>
  <r>
    <s v="TX500891"/>
    <x v="2"/>
    <x v="7"/>
    <n v="112.2"/>
    <n v="1122"/>
    <x v="36"/>
    <d v="2025-02-07T00:00:00"/>
    <s v="F"/>
    <x v="1"/>
    <x v="1"/>
    <x v="0"/>
    <x v="8"/>
    <x v="3"/>
    <n v="6"/>
    <x v="2"/>
  </r>
  <r>
    <s v="TX500892"/>
    <x v="4"/>
    <x v="9"/>
    <n v="34.6"/>
    <n v="173"/>
    <x v="36"/>
    <d v="2025-02-08T00:00:00"/>
    <s v="M"/>
    <x v="2"/>
    <x v="0"/>
    <x v="0"/>
    <x v="8"/>
    <x v="1"/>
    <n v="6"/>
    <x v="1"/>
  </r>
  <r>
    <s v="TX500893"/>
    <x v="14"/>
    <x v="12"/>
    <n v="20.100000000000001"/>
    <n v="80.400000000000006"/>
    <x v="36"/>
    <d v="2025-02-12T00:00:00"/>
    <s v="M"/>
    <x v="1"/>
    <x v="2"/>
    <x v="0"/>
    <x v="8"/>
    <x v="4"/>
    <n v="6"/>
    <x v="1"/>
  </r>
  <r>
    <s v="TX500894"/>
    <x v="2"/>
    <x v="12"/>
    <n v="56.4"/>
    <n v="225.6"/>
    <x v="36"/>
    <d v="2025-02-08T00:00:00"/>
    <s v="F"/>
    <x v="2"/>
    <x v="0"/>
    <x v="0"/>
    <x v="10"/>
    <x v="1"/>
    <n v="6"/>
    <x v="2"/>
  </r>
  <r>
    <s v="TX500895"/>
    <x v="13"/>
    <x v="11"/>
    <n v="55.3"/>
    <n v="497.7"/>
    <x v="36"/>
    <d v="2025-02-08T00:00:00"/>
    <s v="F"/>
    <x v="1"/>
    <x v="4"/>
    <x v="0"/>
    <x v="11"/>
    <x v="1"/>
    <n v="6"/>
    <x v="2"/>
  </r>
  <r>
    <s v="TX500896"/>
    <x v="2"/>
    <x v="31"/>
    <n v="75.5"/>
    <n v="2114"/>
    <x v="36"/>
    <d v="2025-02-07T00:00:00"/>
    <s v="F"/>
    <x v="0"/>
    <x v="0"/>
    <x v="0"/>
    <x v="11"/>
    <x v="3"/>
    <n v="6"/>
    <x v="2"/>
  </r>
  <r>
    <s v="TX500897"/>
    <x v="8"/>
    <x v="0"/>
    <n v="23.6"/>
    <n v="23.6"/>
    <x v="36"/>
    <d v="2025-02-11T00:00:00"/>
    <s v="F"/>
    <x v="0"/>
    <x v="0"/>
    <x v="0"/>
    <x v="19"/>
    <x v="0"/>
    <n v="6"/>
    <x v="2"/>
  </r>
  <r>
    <s v="TX500898"/>
    <x v="9"/>
    <x v="1"/>
    <n v="70.7"/>
    <n v="141.4"/>
    <x v="36"/>
    <d v="2025-02-08T00:00:00"/>
    <s v="F"/>
    <x v="2"/>
    <x v="0"/>
    <x v="0"/>
    <x v="19"/>
    <x v="1"/>
    <n v="6"/>
    <x v="2"/>
  </r>
  <r>
    <s v="TX500899"/>
    <x v="12"/>
    <x v="1"/>
    <n v="43.2"/>
    <n v="86.4"/>
    <x v="36"/>
    <d v="2025-02-07T00:00:00"/>
    <s v="F"/>
    <x v="2"/>
    <x v="0"/>
    <x v="0"/>
    <x v="31"/>
    <x v="3"/>
    <n v="6"/>
    <x v="2"/>
  </r>
  <r>
    <s v="TX500900"/>
    <x v="9"/>
    <x v="11"/>
    <n v="70"/>
    <n v="630"/>
    <x v="36"/>
    <d v="2025-02-07T00:00:00"/>
    <s v=""/>
    <x v="1"/>
    <x v="0"/>
    <x v="0"/>
    <x v="52"/>
    <x v="3"/>
    <n v="6"/>
    <x v="0"/>
  </r>
  <r>
    <s v="TX500901"/>
    <x v="0"/>
    <x v="1"/>
    <n v="20.5"/>
    <n v="41"/>
    <x v="36"/>
    <d v="2025-02-08T00:00:00"/>
    <s v="F"/>
    <x v="2"/>
    <x v="4"/>
    <x v="0"/>
    <x v="13"/>
    <x v="1"/>
    <n v="6"/>
    <x v="2"/>
  </r>
  <r>
    <s v="TX500902"/>
    <x v="0"/>
    <x v="12"/>
    <n v="29.1"/>
    <n v="116.4"/>
    <x v="36"/>
    <d v="2025-02-07T00:00:00"/>
    <s v="F"/>
    <x v="3"/>
    <x v="0"/>
    <x v="0"/>
    <x v="28"/>
    <x v="3"/>
    <n v="6"/>
    <x v="2"/>
  </r>
  <r>
    <s v="TX500903"/>
    <x v="6"/>
    <x v="11"/>
    <n v="53.6"/>
    <n v="482.40000000000003"/>
    <x v="36"/>
    <d v="2025-02-07T00:00:00"/>
    <s v="M"/>
    <x v="2"/>
    <x v="1"/>
    <x v="0"/>
    <x v="3"/>
    <x v="3"/>
    <n v="6"/>
    <x v="1"/>
  </r>
  <r>
    <s v="TX500904"/>
    <x v="6"/>
    <x v="9"/>
    <n v="72.3"/>
    <n v="361.5"/>
    <x v="36"/>
    <d v="2025-02-08T00:00:00"/>
    <s v="F"/>
    <x v="1"/>
    <x v="0"/>
    <x v="0"/>
    <x v="3"/>
    <x v="1"/>
    <n v="6"/>
    <x v="2"/>
  </r>
  <r>
    <s v="TX500905"/>
    <x v="13"/>
    <x v="12"/>
    <n v="22.6"/>
    <n v="90.4"/>
    <x v="36"/>
    <d v="2025-02-09T00:00:00"/>
    <s v="O"/>
    <x v="0"/>
    <x v="1"/>
    <x v="0"/>
    <x v="3"/>
    <x v="2"/>
    <n v="6"/>
    <x v="3"/>
  </r>
  <r>
    <s v="TX500906"/>
    <x v="9"/>
    <x v="1"/>
    <n v="44.2"/>
    <n v="88.4"/>
    <x v="36"/>
    <d v="2025-02-10T00:00:00"/>
    <s v=""/>
    <x v="2"/>
    <x v="4"/>
    <x v="0"/>
    <x v="3"/>
    <x v="5"/>
    <n v="6"/>
    <x v="0"/>
  </r>
  <r>
    <s v="TX500907"/>
    <x v="9"/>
    <x v="2"/>
    <n v="94.1"/>
    <n v="282.29999999999995"/>
    <x v="36"/>
    <d v="2025-02-19T00:00:00"/>
    <s v="F"/>
    <x v="2"/>
    <x v="2"/>
    <x v="0"/>
    <x v="3"/>
    <x v="10"/>
    <n v="6"/>
    <x v="2"/>
  </r>
  <r>
    <s v="TX500908"/>
    <x v="8"/>
    <x v="2"/>
    <n v="17.899999999999999"/>
    <n v="53.699999999999996"/>
    <x v="36"/>
    <d v="2025-02-08T00:00:00"/>
    <s v="M"/>
    <x v="1"/>
    <x v="1"/>
    <x v="0"/>
    <x v="3"/>
    <x v="1"/>
    <n v="6"/>
    <x v="1"/>
  </r>
  <r>
    <s v="TX500909"/>
    <x v="12"/>
    <x v="3"/>
    <n v="52.7"/>
    <n v="368.90000000000003"/>
    <x v="36"/>
    <d v="2025-02-07T00:00:00"/>
    <s v="M"/>
    <x v="1"/>
    <x v="1"/>
    <x v="0"/>
    <x v="3"/>
    <x v="3"/>
    <n v="6"/>
    <x v="1"/>
  </r>
  <r>
    <s v="TX500910"/>
    <x v="8"/>
    <x v="0"/>
    <n v="36.799999999999997"/>
    <n v="36.799999999999997"/>
    <x v="36"/>
    <d v="2025-02-06T00:00:00"/>
    <s v=""/>
    <x v="0"/>
    <x v="2"/>
    <x v="0"/>
    <x v="3"/>
    <x v="7"/>
    <n v="6"/>
    <x v="0"/>
  </r>
  <r>
    <s v="TX500911"/>
    <x v="4"/>
    <x v="0"/>
    <n v="52.5"/>
    <n v="52.5"/>
    <x v="36"/>
    <d v="2025-02-07T00:00:00"/>
    <s v="M"/>
    <x v="0"/>
    <x v="1"/>
    <x v="0"/>
    <x v="6"/>
    <x v="3"/>
    <n v="6"/>
    <x v="1"/>
  </r>
  <r>
    <s v="TX500912"/>
    <x v="2"/>
    <x v="1"/>
    <n v="133.80000000000001"/>
    <n v="267.60000000000002"/>
    <x v="36"/>
    <d v="2025-02-08T00:00:00"/>
    <s v="M"/>
    <x v="0"/>
    <x v="1"/>
    <x v="0"/>
    <x v="7"/>
    <x v="1"/>
    <n v="6"/>
    <x v="1"/>
  </r>
  <r>
    <s v="TX500913"/>
    <x v="6"/>
    <x v="1"/>
    <n v="53.2"/>
    <n v="106.4"/>
    <x v="36"/>
    <d v="2025-02-08T00:00:00"/>
    <s v="M"/>
    <x v="0"/>
    <x v="0"/>
    <x v="0"/>
    <x v="17"/>
    <x v="1"/>
    <n v="6"/>
    <x v="1"/>
  </r>
  <r>
    <s v="TX500914"/>
    <x v="14"/>
    <x v="13"/>
    <n v="18.7"/>
    <n v="112.19999999999999"/>
    <x v="36"/>
    <d v="2025-02-08T00:00:00"/>
    <s v=""/>
    <x v="0"/>
    <x v="1"/>
    <x v="0"/>
    <x v="10"/>
    <x v="1"/>
    <n v="6"/>
    <x v="0"/>
  </r>
  <r>
    <s v="TX500915"/>
    <x v="6"/>
    <x v="12"/>
    <n v="108.8"/>
    <n v="435.2"/>
    <x v="36"/>
    <d v="2025-02-07T00:00:00"/>
    <s v="F"/>
    <x v="3"/>
    <x v="2"/>
    <x v="0"/>
    <x v="11"/>
    <x v="3"/>
    <n v="6"/>
    <x v="2"/>
  </r>
  <r>
    <s v="TX500916"/>
    <x v="15"/>
    <x v="9"/>
    <n v="38.5"/>
    <n v="192.5"/>
    <x v="36"/>
    <d v="2025-02-10T00:00:00"/>
    <s v="F"/>
    <x v="0"/>
    <x v="1"/>
    <x v="0"/>
    <x v="14"/>
    <x v="5"/>
    <n v="6"/>
    <x v="2"/>
  </r>
  <r>
    <s v="TX500917"/>
    <x v="10"/>
    <x v="7"/>
    <n v="46.5"/>
    <n v="465"/>
    <x v="36"/>
    <d v="2025-02-08T00:00:00"/>
    <s v="M"/>
    <x v="2"/>
    <x v="1"/>
    <x v="0"/>
    <x v="2"/>
    <x v="1"/>
    <n v="6"/>
    <x v="1"/>
  </r>
  <r>
    <s v="TX500918"/>
    <x v="2"/>
    <x v="2"/>
    <n v="75.8"/>
    <n v="227.39999999999998"/>
    <x v="36"/>
    <d v="2025-02-10T00:00:00"/>
    <s v="F"/>
    <x v="1"/>
    <x v="4"/>
    <x v="0"/>
    <x v="44"/>
    <x v="5"/>
    <n v="6"/>
    <x v="2"/>
  </r>
  <r>
    <s v="TX500919"/>
    <x v="8"/>
    <x v="0"/>
    <n v="20.9"/>
    <n v="20.9"/>
    <x v="36"/>
    <d v="2025-02-10T00:00:00"/>
    <s v="M"/>
    <x v="0"/>
    <x v="0"/>
    <x v="0"/>
    <x v="22"/>
    <x v="5"/>
    <n v="6"/>
    <x v="1"/>
  </r>
  <r>
    <s v="TX500920"/>
    <x v="18"/>
    <x v="2"/>
    <n v="47.4"/>
    <n v="142.19999999999999"/>
    <x v="36"/>
    <d v="2025-02-09T00:00:00"/>
    <s v="F"/>
    <x v="0"/>
    <x v="0"/>
    <x v="0"/>
    <x v="3"/>
    <x v="2"/>
    <n v="6"/>
    <x v="2"/>
  </r>
  <r>
    <s v="TX500921"/>
    <x v="9"/>
    <x v="1"/>
    <n v="53.8"/>
    <n v="107.6"/>
    <x v="36"/>
    <d v="2025-02-07T00:00:00"/>
    <s v=""/>
    <x v="0"/>
    <x v="1"/>
    <x v="0"/>
    <x v="3"/>
    <x v="3"/>
    <n v="6"/>
    <x v="0"/>
  </r>
  <r>
    <s v="TX500922"/>
    <x v="8"/>
    <x v="2"/>
    <n v="24.6"/>
    <n v="73.800000000000011"/>
    <x v="36"/>
    <d v="2025-02-08T00:00:00"/>
    <s v="O"/>
    <x v="1"/>
    <x v="2"/>
    <x v="0"/>
    <x v="3"/>
    <x v="1"/>
    <n v="6"/>
    <x v="3"/>
  </r>
  <r>
    <s v="TX500923"/>
    <x v="9"/>
    <x v="2"/>
    <n v="70.900000000000006"/>
    <n v="212.70000000000002"/>
    <x v="36"/>
    <d v="2025-02-11T00:00:00"/>
    <s v="F"/>
    <x v="2"/>
    <x v="2"/>
    <x v="0"/>
    <x v="3"/>
    <x v="0"/>
    <n v="6"/>
    <x v="2"/>
  </r>
  <r>
    <s v="TX500924"/>
    <x v="17"/>
    <x v="2"/>
    <n v="31.9"/>
    <n v="95.699999999999989"/>
    <x v="36"/>
    <d v="2025-02-08T00:00:00"/>
    <s v="F"/>
    <x v="2"/>
    <x v="2"/>
    <x v="0"/>
    <x v="3"/>
    <x v="1"/>
    <n v="6"/>
    <x v="2"/>
  </r>
  <r>
    <s v="TX500925"/>
    <x v="0"/>
    <x v="1"/>
    <n v="20.399999999999999"/>
    <n v="40.799999999999997"/>
    <x v="36"/>
    <d v="2025-02-10T00:00:00"/>
    <s v="M"/>
    <x v="3"/>
    <x v="2"/>
    <x v="0"/>
    <x v="3"/>
    <x v="5"/>
    <n v="6"/>
    <x v="1"/>
  </r>
  <r>
    <s v="TX500926"/>
    <x v="8"/>
    <x v="1"/>
    <n v="18.600000000000001"/>
    <n v="37.200000000000003"/>
    <x v="36"/>
    <d v="2025-02-08T00:00:00"/>
    <s v=""/>
    <x v="0"/>
    <x v="1"/>
    <x v="0"/>
    <x v="3"/>
    <x v="1"/>
    <n v="6"/>
    <x v="0"/>
  </r>
  <r>
    <s v="TX500927"/>
    <x v="4"/>
    <x v="9"/>
    <n v="48.3"/>
    <n v="241.5"/>
    <x v="36"/>
    <d v="2025-02-08T00:00:00"/>
    <s v="F"/>
    <x v="1"/>
    <x v="0"/>
    <x v="0"/>
    <x v="3"/>
    <x v="1"/>
    <n v="6"/>
    <x v="2"/>
  </r>
  <r>
    <s v="TX500928"/>
    <x v="0"/>
    <x v="12"/>
    <n v="27.7"/>
    <n v="110.8"/>
    <x v="36"/>
    <d v="2025-02-08T00:00:00"/>
    <s v="F"/>
    <x v="0"/>
    <x v="0"/>
    <x v="0"/>
    <x v="3"/>
    <x v="1"/>
    <n v="6"/>
    <x v="2"/>
  </r>
  <r>
    <s v="TX500929"/>
    <x v="4"/>
    <x v="9"/>
    <n v="22.5"/>
    <n v="112.5"/>
    <x v="36"/>
    <d v="2025-02-08T00:00:00"/>
    <s v="F"/>
    <x v="4"/>
    <x v="2"/>
    <x v="0"/>
    <x v="3"/>
    <x v="1"/>
    <n v="6"/>
    <x v="2"/>
  </r>
  <r>
    <s v="TX500930"/>
    <x v="17"/>
    <x v="9"/>
    <n v="21.6"/>
    <n v="108"/>
    <x v="36"/>
    <d v="2025-02-14T00:00:00"/>
    <s v="F"/>
    <x v="0"/>
    <x v="1"/>
    <x v="0"/>
    <x v="3"/>
    <x v="9"/>
    <n v="6"/>
    <x v="2"/>
  </r>
  <r>
    <s v="TX500931"/>
    <x v="10"/>
    <x v="3"/>
    <n v="26.3"/>
    <n v="184.1"/>
    <x v="36"/>
    <d v="2025-02-06T00:00:00"/>
    <s v="F"/>
    <x v="2"/>
    <x v="1"/>
    <x v="0"/>
    <x v="3"/>
    <x v="7"/>
    <n v="6"/>
    <x v="2"/>
  </r>
  <r>
    <s v="TX500932"/>
    <x v="6"/>
    <x v="3"/>
    <n v="103"/>
    <n v="721"/>
    <x v="37"/>
    <d v="2025-02-08T00:00:00"/>
    <s v="M"/>
    <x v="0"/>
    <x v="2"/>
    <x v="0"/>
    <x v="6"/>
    <x v="3"/>
    <n v="6"/>
    <x v="1"/>
  </r>
  <r>
    <s v="TX500933"/>
    <x v="5"/>
    <x v="20"/>
    <n v="46.6"/>
    <n v="699"/>
    <x v="37"/>
    <d v="2025-02-08T00:00:00"/>
    <s v="F"/>
    <x v="0"/>
    <x v="1"/>
    <x v="0"/>
    <x v="6"/>
    <x v="3"/>
    <n v="6"/>
    <x v="2"/>
  </r>
  <r>
    <s v="TX500934"/>
    <x v="0"/>
    <x v="9"/>
    <n v="32.200000000000003"/>
    <n v="161"/>
    <x v="37"/>
    <d v="2025-02-10T00:00:00"/>
    <s v="F"/>
    <x v="0"/>
    <x v="2"/>
    <x v="0"/>
    <x v="36"/>
    <x v="2"/>
    <n v="6"/>
    <x v="2"/>
  </r>
  <r>
    <s v="TX500935"/>
    <x v="8"/>
    <x v="2"/>
    <n v="22"/>
    <n v="66"/>
    <x v="37"/>
    <d v="2025-02-14T00:00:00"/>
    <s v="M"/>
    <x v="1"/>
    <x v="0"/>
    <x v="0"/>
    <x v="7"/>
    <x v="6"/>
    <n v="6"/>
    <x v="1"/>
  </r>
  <r>
    <s v="TX500936"/>
    <x v="0"/>
    <x v="1"/>
    <n v="25.2"/>
    <n v="50.4"/>
    <x v="37"/>
    <d v="2025-02-11T00:00:00"/>
    <s v="F"/>
    <x v="0"/>
    <x v="0"/>
    <x v="0"/>
    <x v="7"/>
    <x v="5"/>
    <n v="6"/>
    <x v="2"/>
  </r>
  <r>
    <s v="TX500937"/>
    <x v="1"/>
    <x v="13"/>
    <n v="68.7"/>
    <n v="412.20000000000005"/>
    <x v="37"/>
    <d v="2025-02-09T00:00:00"/>
    <s v="M"/>
    <x v="4"/>
    <x v="0"/>
    <x v="0"/>
    <x v="8"/>
    <x v="1"/>
    <n v="6"/>
    <x v="1"/>
  </r>
  <r>
    <s v="TX500938"/>
    <x v="0"/>
    <x v="2"/>
    <n v="22.2"/>
    <n v="66.599999999999994"/>
    <x v="37"/>
    <d v="2025-02-10T00:00:00"/>
    <s v="M"/>
    <x v="2"/>
    <x v="2"/>
    <x v="0"/>
    <x v="8"/>
    <x v="2"/>
    <n v="6"/>
    <x v="1"/>
  </r>
  <r>
    <s v="TX500939"/>
    <x v="1"/>
    <x v="3"/>
    <n v="36"/>
    <n v="252"/>
    <x v="37"/>
    <d v="2025-02-08T00:00:00"/>
    <s v="F"/>
    <x v="1"/>
    <x v="0"/>
    <x v="0"/>
    <x v="8"/>
    <x v="3"/>
    <n v="6"/>
    <x v="2"/>
  </r>
  <r>
    <s v="TX500940"/>
    <x v="18"/>
    <x v="0"/>
    <n v="50.6"/>
    <n v="50.6"/>
    <x v="37"/>
    <d v="2025-02-09T00:00:00"/>
    <s v="F"/>
    <x v="0"/>
    <x v="1"/>
    <x v="0"/>
    <x v="8"/>
    <x v="1"/>
    <n v="6"/>
    <x v="2"/>
  </r>
  <r>
    <s v="TX500941"/>
    <x v="15"/>
    <x v="1"/>
    <n v="44.9"/>
    <n v="89.8"/>
    <x v="37"/>
    <d v="2025-02-09T00:00:00"/>
    <s v="M"/>
    <x v="0"/>
    <x v="1"/>
    <x v="0"/>
    <x v="8"/>
    <x v="1"/>
    <n v="6"/>
    <x v="1"/>
  </r>
  <r>
    <s v="TX500942"/>
    <x v="6"/>
    <x v="2"/>
    <n v="71.599999999999994"/>
    <n v="214.79999999999998"/>
    <x v="37"/>
    <d v="2025-02-11T00:00:00"/>
    <s v="M"/>
    <x v="1"/>
    <x v="2"/>
    <x v="0"/>
    <x v="10"/>
    <x v="5"/>
    <n v="6"/>
    <x v="1"/>
  </r>
  <r>
    <s v="TX500943"/>
    <x v="6"/>
    <x v="13"/>
    <n v="51.5"/>
    <n v="309"/>
    <x v="37"/>
    <d v="2025-02-09T00:00:00"/>
    <s v=""/>
    <x v="4"/>
    <x v="0"/>
    <x v="0"/>
    <x v="11"/>
    <x v="1"/>
    <n v="6"/>
    <x v="0"/>
  </r>
  <r>
    <s v="TX500944"/>
    <x v="7"/>
    <x v="9"/>
    <n v="55.5"/>
    <n v="277.5"/>
    <x v="37"/>
    <d v="2025-02-08T00:00:00"/>
    <s v="M"/>
    <x v="1"/>
    <x v="1"/>
    <x v="0"/>
    <x v="11"/>
    <x v="3"/>
    <n v="6"/>
    <x v="1"/>
  </r>
  <r>
    <s v="TX500945"/>
    <x v="6"/>
    <x v="0"/>
    <n v="51.7"/>
    <n v="51.7"/>
    <x v="37"/>
    <d v="2025-02-21T00:00:00"/>
    <s v="M"/>
    <x v="2"/>
    <x v="0"/>
    <x v="0"/>
    <x v="19"/>
    <x v="12"/>
    <n v="6"/>
    <x v="1"/>
  </r>
  <r>
    <s v="TX500946"/>
    <x v="8"/>
    <x v="38"/>
    <n v="45.5"/>
    <n v="955.5"/>
    <x v="37"/>
    <d v="2025-02-08T00:00:00"/>
    <s v="F"/>
    <x v="3"/>
    <x v="2"/>
    <x v="0"/>
    <x v="19"/>
    <x v="3"/>
    <n v="6"/>
    <x v="2"/>
  </r>
  <r>
    <s v="TX500947"/>
    <x v="8"/>
    <x v="1"/>
    <n v="33.799999999999997"/>
    <n v="67.599999999999994"/>
    <x v="37"/>
    <d v="2025-02-13T00:00:00"/>
    <s v="F"/>
    <x v="3"/>
    <x v="0"/>
    <x v="0"/>
    <x v="20"/>
    <x v="4"/>
    <n v="6"/>
    <x v="2"/>
  </r>
  <r>
    <s v="TX500948"/>
    <x v="3"/>
    <x v="2"/>
    <n v="76.5"/>
    <n v="229.5"/>
    <x v="37"/>
    <d v="2025-02-08T00:00:00"/>
    <s v="F"/>
    <x v="0"/>
    <x v="1"/>
    <x v="0"/>
    <x v="21"/>
    <x v="3"/>
    <n v="6"/>
    <x v="2"/>
  </r>
  <r>
    <s v="TX500949"/>
    <x v="9"/>
    <x v="2"/>
    <n v="42.6"/>
    <n v="127.80000000000001"/>
    <x v="37"/>
    <d v="2025-02-13T00:00:00"/>
    <s v="F"/>
    <x v="2"/>
    <x v="2"/>
    <x v="0"/>
    <x v="2"/>
    <x v="4"/>
    <n v="6"/>
    <x v="2"/>
  </r>
  <r>
    <s v="TX500950"/>
    <x v="6"/>
    <x v="2"/>
    <n v="44.1"/>
    <n v="132.30000000000001"/>
    <x v="37"/>
    <d v="2025-02-09T00:00:00"/>
    <s v="F"/>
    <x v="1"/>
    <x v="1"/>
    <x v="0"/>
    <x v="22"/>
    <x v="1"/>
    <n v="6"/>
    <x v="2"/>
  </r>
  <r>
    <s v="TX500951"/>
    <x v="8"/>
    <x v="1"/>
    <n v="40.9"/>
    <n v="81.8"/>
    <x v="37"/>
    <d v="2025-02-11T00:00:00"/>
    <s v="M"/>
    <x v="0"/>
    <x v="0"/>
    <x v="0"/>
    <x v="3"/>
    <x v="5"/>
    <n v="6"/>
    <x v="1"/>
  </r>
  <r>
    <s v="TX500952"/>
    <x v="9"/>
    <x v="2"/>
    <n v="49.1"/>
    <n v="147.30000000000001"/>
    <x v="37"/>
    <d v="2025-02-11T00:00:00"/>
    <s v="F"/>
    <x v="3"/>
    <x v="1"/>
    <x v="0"/>
    <x v="3"/>
    <x v="5"/>
    <n v="6"/>
    <x v="2"/>
  </r>
  <r>
    <s v="TX500953"/>
    <x v="18"/>
    <x v="0"/>
    <n v="85.3"/>
    <n v="85.3"/>
    <x v="37"/>
    <d v="2025-02-11T00:00:00"/>
    <s v="M"/>
    <x v="1"/>
    <x v="1"/>
    <x v="0"/>
    <x v="3"/>
    <x v="5"/>
    <n v="6"/>
    <x v="1"/>
  </r>
  <r>
    <s v="TX500954"/>
    <x v="6"/>
    <x v="12"/>
    <n v="43.1"/>
    <n v="172.4"/>
    <x v="38"/>
    <d v="2025-02-11T00:00:00"/>
    <s v="M"/>
    <x v="0"/>
    <x v="0"/>
    <x v="0"/>
    <x v="3"/>
    <x v="2"/>
    <n v="6"/>
    <x v="1"/>
  </r>
  <r>
    <s v="TX500955"/>
    <x v="4"/>
    <x v="12"/>
    <n v="46.2"/>
    <n v="184.8"/>
    <x v="38"/>
    <d v="2025-02-09T00:00:00"/>
    <s v="M"/>
    <x v="2"/>
    <x v="0"/>
    <x v="0"/>
    <x v="3"/>
    <x v="3"/>
    <n v="6"/>
    <x v="1"/>
  </r>
  <r>
    <s v="TX500956"/>
    <x v="1"/>
    <x v="0"/>
    <n v="74.400000000000006"/>
    <n v="74.400000000000006"/>
    <x v="38"/>
    <d v="2025-02-10T00:00:00"/>
    <s v="M"/>
    <x v="4"/>
    <x v="2"/>
    <x v="0"/>
    <x v="3"/>
    <x v="1"/>
    <n v="6"/>
    <x v="1"/>
  </r>
  <r>
    <s v="TX500957"/>
    <x v="17"/>
    <x v="1"/>
    <n v="51.2"/>
    <n v="102.4"/>
    <x v="38"/>
    <d v="2025-02-09T00:00:00"/>
    <s v="M"/>
    <x v="1"/>
    <x v="0"/>
    <x v="0"/>
    <x v="3"/>
    <x v="3"/>
    <n v="6"/>
    <x v="1"/>
  </r>
  <r>
    <s v="TX500958"/>
    <x v="14"/>
    <x v="12"/>
    <n v="11.8"/>
    <n v="47.2"/>
    <x v="38"/>
    <d v="2025-02-08T00:00:00"/>
    <s v="M"/>
    <x v="2"/>
    <x v="0"/>
    <x v="0"/>
    <x v="3"/>
    <x v="7"/>
    <n v="6"/>
    <x v="1"/>
  </r>
  <r>
    <s v="TX500959"/>
    <x v="10"/>
    <x v="6"/>
    <n v="40.799999999999997"/>
    <n v="1101.5999999999999"/>
    <x v="38"/>
    <d v="2025-02-09T00:00:00"/>
    <s v="F"/>
    <x v="3"/>
    <x v="2"/>
    <x v="0"/>
    <x v="3"/>
    <x v="3"/>
    <n v="6"/>
    <x v="2"/>
  </r>
  <r>
    <s v="TX500960"/>
    <x v="8"/>
    <x v="0"/>
    <n v="24.7"/>
    <n v="24.7"/>
    <x v="38"/>
    <d v="2025-02-10T00:00:00"/>
    <s v="F"/>
    <x v="2"/>
    <x v="1"/>
    <x v="0"/>
    <x v="3"/>
    <x v="1"/>
    <n v="6"/>
    <x v="2"/>
  </r>
  <r>
    <s v="TX500961"/>
    <x v="8"/>
    <x v="3"/>
    <n v="22.1"/>
    <n v="154.70000000000002"/>
    <x v="38"/>
    <d v="2025-02-08T00:00:00"/>
    <s v="F"/>
    <x v="2"/>
    <x v="4"/>
    <x v="0"/>
    <x v="3"/>
    <x v="7"/>
    <n v="6"/>
    <x v="2"/>
  </r>
  <r>
    <s v="TX500962"/>
    <x v="8"/>
    <x v="0"/>
    <n v="18.100000000000001"/>
    <n v="18.100000000000001"/>
    <x v="38"/>
    <d v="2025-02-12T00:00:00"/>
    <s v="M"/>
    <x v="3"/>
    <x v="2"/>
    <x v="0"/>
    <x v="3"/>
    <x v="5"/>
    <n v="6"/>
    <x v="1"/>
  </r>
  <r>
    <s v="TX500963"/>
    <x v="17"/>
    <x v="1"/>
    <n v="58.8"/>
    <n v="117.6"/>
    <x v="38"/>
    <d v="2025-02-11T00:00:00"/>
    <s v="F"/>
    <x v="0"/>
    <x v="0"/>
    <x v="0"/>
    <x v="25"/>
    <x v="2"/>
    <n v="6"/>
    <x v="2"/>
  </r>
  <r>
    <s v="TX500964"/>
    <x v="18"/>
    <x v="1"/>
    <n v="30.8"/>
    <n v="61.6"/>
    <x v="38"/>
    <d v="2025-02-09T00:00:00"/>
    <s v="F"/>
    <x v="0"/>
    <x v="0"/>
    <x v="0"/>
    <x v="6"/>
    <x v="3"/>
    <n v="6"/>
    <x v="2"/>
  </r>
  <r>
    <s v="TX500965"/>
    <x v="0"/>
    <x v="1"/>
    <n v="12"/>
    <n v="24"/>
    <x v="38"/>
    <d v="2025-02-12T00:00:00"/>
    <s v="F"/>
    <x v="0"/>
    <x v="0"/>
    <x v="0"/>
    <x v="6"/>
    <x v="5"/>
    <n v="6"/>
    <x v="2"/>
  </r>
  <r>
    <s v="TX500966"/>
    <x v="0"/>
    <x v="12"/>
    <n v="13.6"/>
    <n v="54.4"/>
    <x v="38"/>
    <d v="2025-02-11T00:00:00"/>
    <s v="M"/>
    <x v="2"/>
    <x v="0"/>
    <x v="0"/>
    <x v="6"/>
    <x v="2"/>
    <n v="6"/>
    <x v="1"/>
  </r>
  <r>
    <s v="TX500967"/>
    <x v="0"/>
    <x v="0"/>
    <n v="17.899999999999999"/>
    <n v="17.899999999999999"/>
    <x v="38"/>
    <d v="2025-02-09T00:00:00"/>
    <s v="M"/>
    <x v="3"/>
    <x v="0"/>
    <x v="0"/>
    <x v="6"/>
    <x v="3"/>
    <n v="6"/>
    <x v="1"/>
  </r>
  <r>
    <s v="TX500968"/>
    <x v="9"/>
    <x v="1"/>
    <n v="38.6"/>
    <n v="77.2"/>
    <x v="38"/>
    <d v="2025-02-12T00:00:00"/>
    <s v="F"/>
    <x v="4"/>
    <x v="0"/>
    <x v="0"/>
    <x v="7"/>
    <x v="5"/>
    <n v="6"/>
    <x v="2"/>
  </r>
  <r>
    <s v="TX500969"/>
    <x v="5"/>
    <x v="9"/>
    <n v="32.700000000000003"/>
    <n v="163.5"/>
    <x v="38"/>
    <d v="2025-02-09T00:00:00"/>
    <s v="M"/>
    <x v="2"/>
    <x v="2"/>
    <x v="0"/>
    <x v="8"/>
    <x v="3"/>
    <n v="6"/>
    <x v="1"/>
  </r>
  <r>
    <s v="TX500970"/>
    <x v="3"/>
    <x v="1"/>
    <n v="111.4"/>
    <n v="222.8"/>
    <x v="38"/>
    <d v="2025-02-09T00:00:00"/>
    <s v="F"/>
    <x v="1"/>
    <x v="0"/>
    <x v="0"/>
    <x v="8"/>
    <x v="3"/>
    <n v="6"/>
    <x v="2"/>
  </r>
  <r>
    <s v="TX500971"/>
    <x v="2"/>
    <x v="13"/>
    <n v="80.3"/>
    <n v="481.79999999999995"/>
    <x v="38"/>
    <d v="2025-02-10T00:00:00"/>
    <s v="F"/>
    <x v="1"/>
    <x v="0"/>
    <x v="0"/>
    <x v="8"/>
    <x v="1"/>
    <n v="6"/>
    <x v="2"/>
  </r>
  <r>
    <s v="TX500972"/>
    <x v="6"/>
    <x v="1"/>
    <n v="58.9"/>
    <n v="117.8"/>
    <x v="38"/>
    <d v="2025-02-09T00:00:00"/>
    <s v="M"/>
    <x v="1"/>
    <x v="0"/>
    <x v="0"/>
    <x v="8"/>
    <x v="3"/>
    <n v="6"/>
    <x v="1"/>
  </r>
  <r>
    <s v="TX500973"/>
    <x v="6"/>
    <x v="2"/>
    <n v="51.9"/>
    <n v="155.69999999999999"/>
    <x v="38"/>
    <d v="2025-02-10T00:00:00"/>
    <s v="F"/>
    <x v="1"/>
    <x v="4"/>
    <x v="0"/>
    <x v="8"/>
    <x v="1"/>
    <n v="6"/>
    <x v="2"/>
  </r>
  <r>
    <s v="TX500974"/>
    <x v="2"/>
    <x v="2"/>
    <n v="50.3"/>
    <n v="150.89999999999998"/>
    <x v="38"/>
    <d v="2025-02-09T00:00:00"/>
    <s v="M"/>
    <x v="2"/>
    <x v="0"/>
    <x v="0"/>
    <x v="17"/>
    <x v="3"/>
    <n v="6"/>
    <x v="1"/>
  </r>
  <r>
    <s v="TX500975"/>
    <x v="11"/>
    <x v="13"/>
    <n v="45"/>
    <n v="270"/>
    <x v="38"/>
    <d v="2025-02-14T00:00:00"/>
    <s v="F"/>
    <x v="3"/>
    <x v="0"/>
    <x v="0"/>
    <x v="9"/>
    <x v="4"/>
    <n v="6"/>
    <x v="2"/>
  </r>
  <r>
    <s v="TX500976"/>
    <x v="10"/>
    <x v="13"/>
    <n v="44.7"/>
    <n v="268.20000000000005"/>
    <x v="38"/>
    <d v="2025-02-10T00:00:00"/>
    <s v="F"/>
    <x v="2"/>
    <x v="0"/>
    <x v="0"/>
    <x v="11"/>
    <x v="1"/>
    <n v="6"/>
    <x v="2"/>
  </r>
  <r>
    <s v="TX500977"/>
    <x v="18"/>
    <x v="20"/>
    <n v="33"/>
    <n v="495"/>
    <x v="38"/>
    <d v="2025-02-09T00:00:00"/>
    <s v="F"/>
    <x v="2"/>
    <x v="0"/>
    <x v="0"/>
    <x v="11"/>
    <x v="3"/>
    <n v="6"/>
    <x v="2"/>
  </r>
  <r>
    <s v="TX500978"/>
    <x v="1"/>
    <x v="9"/>
    <n v="44.9"/>
    <n v="224.5"/>
    <x v="38"/>
    <d v="2025-02-11T00:00:00"/>
    <s v="F"/>
    <x v="2"/>
    <x v="2"/>
    <x v="0"/>
    <x v="18"/>
    <x v="2"/>
    <n v="6"/>
    <x v="2"/>
  </r>
  <r>
    <s v="TX500979"/>
    <x v="10"/>
    <x v="1"/>
    <n v="34.6"/>
    <n v="69.2"/>
    <x v="38"/>
    <d v="2025-02-12T00:00:00"/>
    <s v="F"/>
    <x v="0"/>
    <x v="1"/>
    <x v="0"/>
    <x v="19"/>
    <x v="5"/>
    <n v="6"/>
    <x v="2"/>
  </r>
  <r>
    <s v="TX500980"/>
    <x v="7"/>
    <x v="3"/>
    <n v="47.1"/>
    <n v="329.7"/>
    <x v="38"/>
    <d v="2025-02-13T00:00:00"/>
    <s v="F"/>
    <x v="0"/>
    <x v="0"/>
    <x v="0"/>
    <x v="13"/>
    <x v="0"/>
    <n v="6"/>
    <x v="2"/>
  </r>
  <r>
    <s v="TX500981"/>
    <x v="4"/>
    <x v="9"/>
    <n v="26.1"/>
    <n v="130.5"/>
    <x v="38"/>
    <d v="2025-02-13T00:00:00"/>
    <s v="M"/>
    <x v="0"/>
    <x v="2"/>
    <x v="0"/>
    <x v="21"/>
    <x v="0"/>
    <n v="6"/>
    <x v="1"/>
  </r>
  <r>
    <s v="TX500982"/>
    <x v="12"/>
    <x v="9"/>
    <n v="66.8"/>
    <n v="334"/>
    <x v="38"/>
    <d v="2025-02-11T00:00:00"/>
    <s v="F"/>
    <x v="0"/>
    <x v="0"/>
    <x v="0"/>
    <x v="21"/>
    <x v="2"/>
    <n v="6"/>
    <x v="2"/>
  </r>
  <r>
    <s v="TX500983"/>
    <x v="2"/>
    <x v="1"/>
    <n v="167.9"/>
    <n v="335.8"/>
    <x v="38"/>
    <d v="2025-02-09T00:00:00"/>
    <s v="F"/>
    <x v="3"/>
    <x v="2"/>
    <x v="0"/>
    <x v="21"/>
    <x v="3"/>
    <n v="6"/>
    <x v="2"/>
  </r>
  <r>
    <s v="TX500984"/>
    <x v="10"/>
    <x v="11"/>
    <n v="34.6"/>
    <n v="311.40000000000003"/>
    <x v="38"/>
    <d v="2025-02-09T00:00:00"/>
    <s v="F"/>
    <x v="2"/>
    <x v="1"/>
    <x v="0"/>
    <x v="21"/>
    <x v="3"/>
    <n v="6"/>
    <x v="2"/>
  </r>
  <r>
    <s v="TX500985"/>
    <x v="8"/>
    <x v="2"/>
    <n v="35.1"/>
    <n v="105.30000000000001"/>
    <x v="39"/>
    <d v="2025-02-13T00:00:00"/>
    <s v="M"/>
    <x v="4"/>
    <x v="2"/>
    <x v="0"/>
    <x v="1"/>
    <x v="5"/>
    <n v="7"/>
    <x v="1"/>
  </r>
  <r>
    <s v="TX500986"/>
    <x v="6"/>
    <x v="12"/>
    <n v="104.5"/>
    <n v="418"/>
    <x v="39"/>
    <d v="2025-02-10T00:00:00"/>
    <s v="M"/>
    <x v="1"/>
    <x v="1"/>
    <x v="0"/>
    <x v="1"/>
    <x v="3"/>
    <n v="7"/>
    <x v="1"/>
  </r>
  <r>
    <s v="TX500987"/>
    <x v="8"/>
    <x v="0"/>
    <n v="37.9"/>
    <n v="37.9"/>
    <x v="39"/>
    <d v="2025-02-11T00:00:00"/>
    <s v=""/>
    <x v="1"/>
    <x v="2"/>
    <x v="0"/>
    <x v="2"/>
    <x v="1"/>
    <n v="7"/>
    <x v="0"/>
  </r>
  <r>
    <s v="TX500988"/>
    <x v="4"/>
    <x v="2"/>
    <n v="25.5"/>
    <n v="76.5"/>
    <x v="39"/>
    <d v="2025-02-12T00:00:00"/>
    <s v="M"/>
    <x v="3"/>
    <x v="0"/>
    <x v="0"/>
    <x v="2"/>
    <x v="2"/>
    <n v="7"/>
    <x v="1"/>
  </r>
  <r>
    <s v="TX500989"/>
    <x v="0"/>
    <x v="2"/>
    <n v="32"/>
    <n v="96"/>
    <x v="39"/>
    <d v="2025-02-13T00:00:00"/>
    <s v="F"/>
    <x v="1"/>
    <x v="0"/>
    <x v="0"/>
    <x v="22"/>
    <x v="5"/>
    <n v="7"/>
    <x v="2"/>
  </r>
  <r>
    <s v="TX500990"/>
    <x v="1"/>
    <x v="0"/>
    <n v="47.1"/>
    <n v="47.1"/>
    <x v="39"/>
    <d v="2025-02-10T00:00:00"/>
    <s v="F"/>
    <x v="0"/>
    <x v="0"/>
    <x v="0"/>
    <x v="34"/>
    <x v="3"/>
    <n v="7"/>
    <x v="2"/>
  </r>
  <r>
    <s v="TX500991"/>
    <x v="6"/>
    <x v="1"/>
    <n v="50.6"/>
    <n v="101.2"/>
    <x v="39"/>
    <d v="2025-02-15T00:00:00"/>
    <s v=""/>
    <x v="0"/>
    <x v="0"/>
    <x v="0"/>
    <x v="3"/>
    <x v="4"/>
    <n v="7"/>
    <x v="0"/>
  </r>
  <r>
    <s v="TX500992"/>
    <x v="6"/>
    <x v="9"/>
    <n v="81.7"/>
    <n v="408.5"/>
    <x v="39"/>
    <d v="2025-02-10T00:00:00"/>
    <s v="F"/>
    <x v="1"/>
    <x v="2"/>
    <x v="0"/>
    <x v="3"/>
    <x v="3"/>
    <n v="7"/>
    <x v="2"/>
  </r>
  <r>
    <s v="TX500993"/>
    <x v="5"/>
    <x v="1"/>
    <n v="50.7"/>
    <n v="101.4"/>
    <x v="39"/>
    <d v="2025-02-10T00:00:00"/>
    <s v="O"/>
    <x v="2"/>
    <x v="2"/>
    <x v="0"/>
    <x v="3"/>
    <x v="3"/>
    <n v="7"/>
    <x v="3"/>
  </r>
  <r>
    <s v="TX500994"/>
    <x v="2"/>
    <x v="10"/>
    <n v="67.3"/>
    <n v="1278.7"/>
    <x v="39"/>
    <d v="2025-02-13T00:00:00"/>
    <s v="F"/>
    <x v="2"/>
    <x v="0"/>
    <x v="0"/>
    <x v="3"/>
    <x v="5"/>
    <n v="7"/>
    <x v="2"/>
  </r>
  <r>
    <s v="TX500995"/>
    <x v="2"/>
    <x v="12"/>
    <n v="64.8"/>
    <n v="259.2"/>
    <x v="39"/>
    <d v="2025-02-12T00:00:00"/>
    <s v="F"/>
    <x v="3"/>
    <x v="0"/>
    <x v="0"/>
    <x v="3"/>
    <x v="2"/>
    <n v="7"/>
    <x v="2"/>
  </r>
  <r>
    <s v="TX500996"/>
    <x v="5"/>
    <x v="32"/>
    <n v="61.3"/>
    <n v="1348.6"/>
    <x v="39"/>
    <d v="2025-02-10T00:00:00"/>
    <s v="F"/>
    <x v="0"/>
    <x v="2"/>
    <x v="0"/>
    <x v="3"/>
    <x v="3"/>
    <n v="7"/>
    <x v="2"/>
  </r>
  <r>
    <s v="TX500997"/>
    <x v="14"/>
    <x v="0"/>
    <n v="32.9"/>
    <n v="32.9"/>
    <x v="39"/>
    <d v="2025-02-12T00:00:00"/>
    <s v="F"/>
    <x v="4"/>
    <x v="0"/>
    <x v="0"/>
    <x v="3"/>
    <x v="2"/>
    <n v="7"/>
    <x v="2"/>
  </r>
  <r>
    <s v="TX500998"/>
    <x v="6"/>
    <x v="1"/>
    <n v="100.8"/>
    <n v="201.6"/>
    <x v="39"/>
    <d v="2025-02-12T00:00:00"/>
    <s v="F"/>
    <x v="0"/>
    <x v="0"/>
    <x v="0"/>
    <x v="3"/>
    <x v="2"/>
    <n v="7"/>
    <x v="2"/>
  </r>
  <r>
    <s v="TX500999"/>
    <x v="8"/>
    <x v="12"/>
    <n v="25.1"/>
    <n v="100.4"/>
    <x v="39"/>
    <d v="2025-02-11T00:00:00"/>
    <s v="F"/>
    <x v="1"/>
    <x v="0"/>
    <x v="0"/>
    <x v="3"/>
    <x v="1"/>
    <n v="7"/>
    <x v="2"/>
  </r>
  <r>
    <s v="TX501000"/>
    <x v="17"/>
    <x v="0"/>
    <n v="48.5"/>
    <n v="48.5"/>
    <x v="39"/>
    <d v="2025-02-10T00:00:00"/>
    <s v="F"/>
    <x v="0"/>
    <x v="1"/>
    <x v="0"/>
    <x v="3"/>
    <x v="3"/>
    <n v="7"/>
    <x v="2"/>
  </r>
  <r>
    <s v="TX501001"/>
    <x v="7"/>
    <x v="1"/>
    <n v="33.6"/>
    <n v="67.2"/>
    <x v="39"/>
    <d v="2025-02-13T00:00:00"/>
    <s v="F"/>
    <x v="2"/>
    <x v="2"/>
    <x v="0"/>
    <x v="3"/>
    <x v="5"/>
    <n v="7"/>
    <x v="2"/>
  </r>
  <r>
    <s v="TX501002"/>
    <x v="8"/>
    <x v="0"/>
    <n v="39.299999999999997"/>
    <n v="39.299999999999997"/>
    <x v="39"/>
    <d v="2025-02-20T00:00:00"/>
    <s v="F"/>
    <x v="1"/>
    <x v="1"/>
    <x v="0"/>
    <x v="49"/>
    <x v="11"/>
    <n v="7"/>
    <x v="2"/>
  </r>
  <r>
    <s v="TX501003"/>
    <x v="4"/>
    <x v="7"/>
    <n v="48.8"/>
    <n v="488"/>
    <x v="39"/>
    <d v="2025-02-11T00:00:00"/>
    <s v="F"/>
    <x v="3"/>
    <x v="1"/>
    <x v="0"/>
    <x v="25"/>
    <x v="1"/>
    <n v="7"/>
    <x v="2"/>
  </r>
  <r>
    <s v="TX501004"/>
    <x v="6"/>
    <x v="8"/>
    <n v="72.8"/>
    <n v="582.4"/>
    <x v="39"/>
    <d v="2025-02-11T00:00:00"/>
    <s v="M"/>
    <x v="1"/>
    <x v="2"/>
    <x v="0"/>
    <x v="5"/>
    <x v="1"/>
    <n v="7"/>
    <x v="1"/>
  </r>
  <r>
    <s v="TX501005"/>
    <x v="10"/>
    <x v="8"/>
    <n v="46.2"/>
    <n v="369.6"/>
    <x v="39"/>
    <d v="2025-02-10T00:00:00"/>
    <s v="M"/>
    <x v="3"/>
    <x v="4"/>
    <x v="0"/>
    <x v="5"/>
    <x v="3"/>
    <n v="7"/>
    <x v="1"/>
  </r>
  <r>
    <s v="TX501006"/>
    <x v="4"/>
    <x v="1"/>
    <n v="20.7"/>
    <n v="41.4"/>
    <x v="39"/>
    <d v="2025-02-10T00:00:00"/>
    <s v="F"/>
    <x v="2"/>
    <x v="3"/>
    <x v="0"/>
    <x v="6"/>
    <x v="3"/>
    <n v="7"/>
    <x v="2"/>
  </r>
  <r>
    <s v="TX501007"/>
    <x v="0"/>
    <x v="0"/>
    <n v="35.700000000000003"/>
    <n v="35.700000000000003"/>
    <x v="39"/>
    <d v="2025-02-11T00:00:00"/>
    <s v="F"/>
    <x v="3"/>
    <x v="0"/>
    <x v="0"/>
    <x v="6"/>
    <x v="1"/>
    <n v="7"/>
    <x v="2"/>
  </r>
  <r>
    <s v="TX501008"/>
    <x v="2"/>
    <x v="27"/>
    <n v="166.2"/>
    <n v="2659.2"/>
    <x v="39"/>
    <d v="2025-02-11T00:00:00"/>
    <s v=""/>
    <x v="2"/>
    <x v="0"/>
    <x v="0"/>
    <x v="7"/>
    <x v="1"/>
    <n v="7"/>
    <x v="0"/>
  </r>
  <r>
    <s v="TX501009"/>
    <x v="6"/>
    <x v="12"/>
    <n v="85.8"/>
    <n v="343.2"/>
    <x v="39"/>
    <d v="2025-02-10T00:00:00"/>
    <s v="F"/>
    <x v="1"/>
    <x v="1"/>
    <x v="0"/>
    <x v="7"/>
    <x v="3"/>
    <n v="7"/>
    <x v="2"/>
  </r>
  <r>
    <s v="TX501010"/>
    <x v="8"/>
    <x v="2"/>
    <n v="26"/>
    <n v="78"/>
    <x v="39"/>
    <d v="2025-02-11T00:00:00"/>
    <s v="O"/>
    <x v="1"/>
    <x v="0"/>
    <x v="0"/>
    <x v="7"/>
    <x v="1"/>
    <n v="7"/>
    <x v="3"/>
  </r>
  <r>
    <s v="TX501011"/>
    <x v="2"/>
    <x v="15"/>
    <n v="116.6"/>
    <n v="1515.8"/>
    <x v="39"/>
    <d v="2025-02-12T00:00:00"/>
    <s v="F"/>
    <x v="0"/>
    <x v="0"/>
    <x v="0"/>
    <x v="8"/>
    <x v="2"/>
    <n v="7"/>
    <x v="2"/>
  </r>
  <r>
    <s v="TX501012"/>
    <x v="9"/>
    <x v="3"/>
    <n v="53.9"/>
    <n v="377.3"/>
    <x v="39"/>
    <d v="2025-02-12T00:00:00"/>
    <s v="O"/>
    <x v="0"/>
    <x v="2"/>
    <x v="0"/>
    <x v="8"/>
    <x v="2"/>
    <n v="7"/>
    <x v="3"/>
  </r>
  <r>
    <s v="TX501013"/>
    <x v="12"/>
    <x v="9"/>
    <n v="72.3"/>
    <n v="361.5"/>
    <x v="39"/>
    <d v="2025-02-11T00:00:00"/>
    <s v=""/>
    <x v="2"/>
    <x v="2"/>
    <x v="0"/>
    <x v="8"/>
    <x v="1"/>
    <n v="7"/>
    <x v="0"/>
  </r>
  <r>
    <s v="TX501014"/>
    <x v="5"/>
    <x v="1"/>
    <n v="31.4"/>
    <n v="62.8"/>
    <x v="39"/>
    <d v="2025-02-11T00:00:00"/>
    <s v="F"/>
    <x v="0"/>
    <x v="0"/>
    <x v="0"/>
    <x v="8"/>
    <x v="1"/>
    <n v="7"/>
    <x v="2"/>
  </r>
  <r>
    <s v="TX501015"/>
    <x v="13"/>
    <x v="1"/>
    <n v="53.1"/>
    <n v="106.2"/>
    <x v="39"/>
    <d v="2025-02-12T00:00:00"/>
    <s v="M"/>
    <x v="1"/>
    <x v="0"/>
    <x v="0"/>
    <x v="8"/>
    <x v="2"/>
    <n v="7"/>
    <x v="1"/>
  </r>
  <r>
    <s v="TX501016"/>
    <x v="2"/>
    <x v="12"/>
    <n v="56.2"/>
    <n v="224.8"/>
    <x v="39"/>
    <d v="2025-02-10T00:00:00"/>
    <s v="F"/>
    <x v="0"/>
    <x v="0"/>
    <x v="0"/>
    <x v="8"/>
    <x v="3"/>
    <n v="7"/>
    <x v="2"/>
  </r>
  <r>
    <s v="TX501017"/>
    <x v="1"/>
    <x v="7"/>
    <n v="77.3"/>
    <n v="773"/>
    <x v="39"/>
    <d v="2025-02-10T00:00:00"/>
    <s v="F"/>
    <x v="2"/>
    <x v="0"/>
    <x v="0"/>
    <x v="11"/>
    <x v="3"/>
    <n v="7"/>
    <x v="2"/>
  </r>
  <r>
    <s v="TX501018"/>
    <x v="6"/>
    <x v="15"/>
    <n v="57.8"/>
    <n v="751.4"/>
    <x v="39"/>
    <d v="2025-02-10T00:00:00"/>
    <s v=""/>
    <x v="0"/>
    <x v="0"/>
    <x v="0"/>
    <x v="53"/>
    <x v="3"/>
    <n v="7"/>
    <x v="0"/>
  </r>
  <r>
    <s v="TX501019"/>
    <x v="12"/>
    <x v="20"/>
    <n v="42.1"/>
    <n v="631.5"/>
    <x v="39"/>
    <d v="2025-02-11T00:00:00"/>
    <s v="F"/>
    <x v="1"/>
    <x v="1"/>
    <x v="0"/>
    <x v="53"/>
    <x v="1"/>
    <n v="7"/>
    <x v="2"/>
  </r>
  <r>
    <s v="TX501020"/>
    <x v="8"/>
    <x v="11"/>
    <n v="22.8"/>
    <n v="205.20000000000002"/>
    <x v="39"/>
    <d v="2025-02-13T00:00:00"/>
    <s v="M"/>
    <x v="2"/>
    <x v="2"/>
    <x v="0"/>
    <x v="19"/>
    <x v="5"/>
    <n v="7"/>
    <x v="1"/>
  </r>
  <r>
    <s v="TX501021"/>
    <x v="2"/>
    <x v="2"/>
    <n v="171.1"/>
    <n v="513.29999999999995"/>
    <x v="40"/>
    <d v="2025-02-17T00:00:00"/>
    <s v="F"/>
    <x v="2"/>
    <x v="1"/>
    <x v="0"/>
    <x v="19"/>
    <x v="6"/>
    <n v="7"/>
    <x v="2"/>
  </r>
  <r>
    <s v="TX501022"/>
    <x v="8"/>
    <x v="0"/>
    <n v="28"/>
    <n v="28"/>
    <x v="40"/>
    <d v="2025-02-12T00:00:00"/>
    <s v="M"/>
    <x v="2"/>
    <x v="2"/>
    <x v="0"/>
    <x v="21"/>
    <x v="1"/>
    <n v="7"/>
    <x v="1"/>
  </r>
  <r>
    <s v="TX501023"/>
    <x v="6"/>
    <x v="3"/>
    <n v="50.2"/>
    <n v="351.40000000000003"/>
    <x v="40"/>
    <d v="2025-02-12T00:00:00"/>
    <s v="M"/>
    <x v="2"/>
    <x v="0"/>
    <x v="0"/>
    <x v="21"/>
    <x v="1"/>
    <n v="7"/>
    <x v="1"/>
  </r>
  <r>
    <s v="TX501024"/>
    <x v="6"/>
    <x v="1"/>
    <n v="56"/>
    <n v="112"/>
    <x v="40"/>
    <d v="2025-02-10T00:00:00"/>
    <s v="M"/>
    <x v="0"/>
    <x v="2"/>
    <x v="0"/>
    <x v="22"/>
    <x v="7"/>
    <n v="7"/>
    <x v="1"/>
  </r>
  <r>
    <s v="TX501025"/>
    <x v="1"/>
    <x v="1"/>
    <n v="38.299999999999997"/>
    <n v="76.599999999999994"/>
    <x v="40"/>
    <d v="2025-02-11T00:00:00"/>
    <s v="F"/>
    <x v="1"/>
    <x v="0"/>
    <x v="0"/>
    <x v="3"/>
    <x v="3"/>
    <n v="7"/>
    <x v="2"/>
  </r>
  <r>
    <s v="TX501026"/>
    <x v="0"/>
    <x v="9"/>
    <n v="22.3"/>
    <n v="111.5"/>
    <x v="40"/>
    <d v="2025-02-14T00:00:00"/>
    <s v="F"/>
    <x v="2"/>
    <x v="1"/>
    <x v="0"/>
    <x v="3"/>
    <x v="5"/>
    <n v="7"/>
    <x v="2"/>
  </r>
  <r>
    <s v="TX501027"/>
    <x v="0"/>
    <x v="2"/>
    <n v="22.3"/>
    <n v="66.900000000000006"/>
    <x v="40"/>
    <d v="2025-02-13T00:00:00"/>
    <s v="F"/>
    <x v="2"/>
    <x v="0"/>
    <x v="0"/>
    <x v="3"/>
    <x v="2"/>
    <n v="7"/>
    <x v="2"/>
  </r>
  <r>
    <s v="TX501028"/>
    <x v="1"/>
    <x v="0"/>
    <n v="32.9"/>
    <n v="32.9"/>
    <x v="40"/>
    <d v="2025-02-15T00:00:00"/>
    <s v="F"/>
    <x v="0"/>
    <x v="0"/>
    <x v="0"/>
    <x v="3"/>
    <x v="0"/>
    <n v="7"/>
    <x v="2"/>
  </r>
  <r>
    <s v="TX501029"/>
    <x v="10"/>
    <x v="2"/>
    <n v="31.9"/>
    <n v="95.699999999999989"/>
    <x v="40"/>
    <d v="2025-02-15T00:00:00"/>
    <s v="F"/>
    <x v="0"/>
    <x v="0"/>
    <x v="0"/>
    <x v="3"/>
    <x v="0"/>
    <n v="7"/>
    <x v="2"/>
  </r>
  <r>
    <s v="TX501030"/>
    <x v="6"/>
    <x v="1"/>
    <n v="94"/>
    <n v="188"/>
    <x v="40"/>
    <d v="2025-02-11T00:00:00"/>
    <s v="M"/>
    <x v="2"/>
    <x v="2"/>
    <x v="0"/>
    <x v="3"/>
    <x v="3"/>
    <n v="7"/>
    <x v="1"/>
  </r>
  <r>
    <s v="TX501031"/>
    <x v="10"/>
    <x v="1"/>
    <n v="30.7"/>
    <n v="61.4"/>
    <x v="40"/>
    <d v="2025-02-11T00:00:00"/>
    <s v="F"/>
    <x v="0"/>
    <x v="1"/>
    <x v="0"/>
    <x v="3"/>
    <x v="3"/>
    <n v="7"/>
    <x v="2"/>
  </r>
  <r>
    <s v="TX501032"/>
    <x v="5"/>
    <x v="9"/>
    <n v="90.5"/>
    <n v="452.5"/>
    <x v="40"/>
    <d v="2025-02-17T00:00:00"/>
    <s v="M"/>
    <x v="0"/>
    <x v="2"/>
    <x v="0"/>
    <x v="3"/>
    <x v="6"/>
    <n v="7"/>
    <x v="1"/>
  </r>
  <r>
    <s v="TX501033"/>
    <x v="8"/>
    <x v="9"/>
    <n v="25.3"/>
    <n v="126.5"/>
    <x v="40"/>
    <d v="2025-02-14T00:00:00"/>
    <s v="F"/>
    <x v="0"/>
    <x v="2"/>
    <x v="0"/>
    <x v="3"/>
    <x v="5"/>
    <n v="7"/>
    <x v="2"/>
  </r>
  <r>
    <s v="TX501034"/>
    <x v="6"/>
    <x v="2"/>
    <n v="58.1"/>
    <n v="174.3"/>
    <x v="40"/>
    <d v="2025-02-14T00:00:00"/>
    <s v=""/>
    <x v="0"/>
    <x v="2"/>
    <x v="0"/>
    <x v="3"/>
    <x v="5"/>
    <n v="7"/>
    <x v="0"/>
  </r>
  <r>
    <s v="TX501035"/>
    <x v="2"/>
    <x v="2"/>
    <n v="74.900000000000006"/>
    <n v="224.70000000000002"/>
    <x v="40"/>
    <d v="2025-02-11T00:00:00"/>
    <s v="F"/>
    <x v="4"/>
    <x v="0"/>
    <x v="0"/>
    <x v="3"/>
    <x v="3"/>
    <n v="7"/>
    <x v="2"/>
  </r>
  <r>
    <s v="TX501036"/>
    <x v="4"/>
    <x v="1"/>
    <n v="32.5"/>
    <n v="65"/>
    <x v="40"/>
    <d v="2025-02-11T00:00:00"/>
    <s v="M"/>
    <x v="2"/>
    <x v="2"/>
    <x v="0"/>
    <x v="43"/>
    <x v="3"/>
    <n v="7"/>
    <x v="1"/>
  </r>
  <r>
    <s v="TX501037"/>
    <x v="4"/>
    <x v="9"/>
    <n v="62"/>
    <n v="310"/>
    <x v="40"/>
    <d v="2025-02-11T00:00:00"/>
    <s v="M"/>
    <x v="4"/>
    <x v="2"/>
    <x v="0"/>
    <x v="25"/>
    <x v="3"/>
    <n v="7"/>
    <x v="1"/>
  </r>
  <r>
    <s v="TX501038"/>
    <x v="13"/>
    <x v="13"/>
    <n v="28.9"/>
    <n v="173.39999999999998"/>
    <x v="40"/>
    <d v="2025-02-13T00:00:00"/>
    <s v="F"/>
    <x v="0"/>
    <x v="1"/>
    <x v="0"/>
    <x v="6"/>
    <x v="2"/>
    <n v="7"/>
    <x v="2"/>
  </r>
  <r>
    <s v="TX501039"/>
    <x v="6"/>
    <x v="8"/>
    <n v="42.8"/>
    <n v="342.4"/>
    <x v="40"/>
    <d v="2025-02-12T00:00:00"/>
    <s v="F"/>
    <x v="0"/>
    <x v="2"/>
    <x v="0"/>
    <x v="6"/>
    <x v="1"/>
    <n v="7"/>
    <x v="2"/>
  </r>
  <r>
    <s v="TX501040"/>
    <x v="8"/>
    <x v="8"/>
    <n v="39.4"/>
    <n v="315.2"/>
    <x v="40"/>
    <d v="2025-02-12T00:00:00"/>
    <s v="M"/>
    <x v="0"/>
    <x v="0"/>
    <x v="0"/>
    <x v="36"/>
    <x v="1"/>
    <n v="7"/>
    <x v="1"/>
  </r>
  <r>
    <s v="TX501041"/>
    <x v="18"/>
    <x v="2"/>
    <n v="66.400000000000006"/>
    <n v="199.20000000000002"/>
    <x v="40"/>
    <d v="2025-02-11T00:00:00"/>
    <s v=""/>
    <x v="2"/>
    <x v="1"/>
    <x v="0"/>
    <x v="7"/>
    <x v="3"/>
    <n v="7"/>
    <x v="0"/>
  </r>
  <r>
    <s v="TX501042"/>
    <x v="17"/>
    <x v="12"/>
    <n v="35.9"/>
    <n v="143.6"/>
    <x v="40"/>
    <d v="2025-02-17T00:00:00"/>
    <s v="F"/>
    <x v="1"/>
    <x v="0"/>
    <x v="0"/>
    <x v="7"/>
    <x v="6"/>
    <n v="7"/>
    <x v="2"/>
  </r>
  <r>
    <s v="TX501043"/>
    <x v="0"/>
    <x v="12"/>
    <n v="26.9"/>
    <n v="107.6"/>
    <x v="40"/>
    <d v="2025-02-11T00:00:00"/>
    <s v="M"/>
    <x v="1"/>
    <x v="0"/>
    <x v="0"/>
    <x v="7"/>
    <x v="3"/>
    <n v="7"/>
    <x v="1"/>
  </r>
  <r>
    <s v="TX501044"/>
    <x v="2"/>
    <x v="0"/>
    <n v="55.1"/>
    <n v="55.1"/>
    <x v="40"/>
    <d v="2025-02-11T00:00:00"/>
    <s v="F"/>
    <x v="0"/>
    <x v="0"/>
    <x v="0"/>
    <x v="7"/>
    <x v="3"/>
    <n v="7"/>
    <x v="2"/>
  </r>
  <r>
    <s v="TX501045"/>
    <x v="4"/>
    <x v="1"/>
    <n v="23.9"/>
    <n v="47.8"/>
    <x v="40"/>
    <d v="2025-02-11T00:00:00"/>
    <s v="M"/>
    <x v="0"/>
    <x v="2"/>
    <x v="0"/>
    <x v="8"/>
    <x v="3"/>
    <n v="7"/>
    <x v="1"/>
  </r>
  <r>
    <s v="TX501046"/>
    <x v="9"/>
    <x v="15"/>
    <n v="21.1"/>
    <n v="274.3"/>
    <x v="40"/>
    <d v="2025-02-18T00:00:00"/>
    <s v="F"/>
    <x v="0"/>
    <x v="1"/>
    <x v="0"/>
    <x v="8"/>
    <x v="9"/>
    <n v="7"/>
    <x v="2"/>
  </r>
  <r>
    <s v="TX501047"/>
    <x v="8"/>
    <x v="9"/>
    <n v="33.799999999999997"/>
    <n v="169"/>
    <x v="40"/>
    <d v="2025-02-12T00:00:00"/>
    <s v="F"/>
    <x v="0"/>
    <x v="0"/>
    <x v="0"/>
    <x v="8"/>
    <x v="1"/>
    <n v="7"/>
    <x v="2"/>
  </r>
  <r>
    <s v="TX501048"/>
    <x v="2"/>
    <x v="12"/>
    <n v="56.1"/>
    <n v="224.4"/>
    <x v="40"/>
    <d v="2025-02-10T00:00:00"/>
    <s v="F"/>
    <x v="3"/>
    <x v="2"/>
    <x v="0"/>
    <x v="9"/>
    <x v="7"/>
    <n v="7"/>
    <x v="2"/>
  </r>
  <r>
    <s v="TX501049"/>
    <x v="3"/>
    <x v="0"/>
    <n v="58.5"/>
    <n v="58.5"/>
    <x v="41"/>
    <d v="2025-02-15T00:00:00"/>
    <s v="F"/>
    <x v="1"/>
    <x v="2"/>
    <x v="0"/>
    <x v="9"/>
    <x v="5"/>
    <n v="7"/>
    <x v="2"/>
  </r>
  <r>
    <s v="TX501050"/>
    <x v="6"/>
    <x v="0"/>
    <n v="84.2"/>
    <n v="84.2"/>
    <x v="41"/>
    <d v="2025-02-13T00:00:00"/>
    <s v="M"/>
    <x v="3"/>
    <x v="0"/>
    <x v="0"/>
    <x v="11"/>
    <x v="1"/>
    <n v="7"/>
    <x v="1"/>
  </r>
  <r>
    <s v="TX501051"/>
    <x v="11"/>
    <x v="12"/>
    <n v="52"/>
    <n v="208"/>
    <x v="41"/>
    <d v="2025-02-14T00:00:00"/>
    <s v="M"/>
    <x v="0"/>
    <x v="0"/>
    <x v="0"/>
    <x v="11"/>
    <x v="2"/>
    <n v="7"/>
    <x v="1"/>
  </r>
  <r>
    <s v="TX501052"/>
    <x v="4"/>
    <x v="9"/>
    <n v="31.5"/>
    <n v="157.5"/>
    <x v="41"/>
    <d v="2025-02-12T00:00:00"/>
    <s v="F"/>
    <x v="0"/>
    <x v="2"/>
    <x v="0"/>
    <x v="11"/>
    <x v="3"/>
    <n v="7"/>
    <x v="2"/>
  </r>
  <r>
    <s v="TX501053"/>
    <x v="16"/>
    <x v="2"/>
    <n v="46.2"/>
    <n v="138.60000000000002"/>
    <x v="41"/>
    <d v="2025-02-12T00:00:00"/>
    <s v="M"/>
    <x v="0"/>
    <x v="0"/>
    <x v="0"/>
    <x v="53"/>
    <x v="3"/>
    <n v="7"/>
    <x v="1"/>
  </r>
  <r>
    <s v="TX501054"/>
    <x v="2"/>
    <x v="13"/>
    <n v="135"/>
    <n v="810"/>
    <x v="41"/>
    <d v="2025-02-12T00:00:00"/>
    <s v="F"/>
    <x v="1"/>
    <x v="2"/>
    <x v="0"/>
    <x v="18"/>
    <x v="3"/>
    <n v="7"/>
    <x v="2"/>
  </r>
  <r>
    <s v="TX501055"/>
    <x v="12"/>
    <x v="2"/>
    <n v="92.2"/>
    <n v="276.60000000000002"/>
    <x v="41"/>
    <d v="2025-02-15T00:00:00"/>
    <s v="M"/>
    <x v="0"/>
    <x v="0"/>
    <x v="0"/>
    <x v="21"/>
    <x v="5"/>
    <n v="7"/>
    <x v="1"/>
  </r>
  <r>
    <s v="TX501056"/>
    <x v="8"/>
    <x v="0"/>
    <n v="36.6"/>
    <n v="36.6"/>
    <x v="41"/>
    <d v="2025-02-13T00:00:00"/>
    <s v="M"/>
    <x v="2"/>
    <x v="2"/>
    <x v="0"/>
    <x v="21"/>
    <x v="1"/>
    <n v="7"/>
    <x v="1"/>
  </r>
  <r>
    <s v="TX501057"/>
    <x v="9"/>
    <x v="1"/>
    <n v="50.6"/>
    <n v="101.2"/>
    <x v="41"/>
    <d v="2025-02-14T00:00:00"/>
    <s v="F"/>
    <x v="0"/>
    <x v="0"/>
    <x v="0"/>
    <x v="2"/>
    <x v="2"/>
    <n v="7"/>
    <x v="2"/>
  </r>
  <r>
    <s v="TX501058"/>
    <x v="18"/>
    <x v="3"/>
    <n v="56.7"/>
    <n v="396.90000000000003"/>
    <x v="41"/>
    <d v="2025-02-14T00:00:00"/>
    <s v="F"/>
    <x v="0"/>
    <x v="0"/>
    <x v="0"/>
    <x v="2"/>
    <x v="2"/>
    <n v="7"/>
    <x v="2"/>
  </r>
  <r>
    <s v="TX501059"/>
    <x v="9"/>
    <x v="15"/>
    <n v="22.9"/>
    <n v="297.7"/>
    <x v="41"/>
    <d v="2025-02-12T00:00:00"/>
    <s v="F"/>
    <x v="0"/>
    <x v="1"/>
    <x v="0"/>
    <x v="44"/>
    <x v="3"/>
    <n v="7"/>
    <x v="2"/>
  </r>
  <r>
    <s v="TX501060"/>
    <x v="15"/>
    <x v="10"/>
    <n v="53.6"/>
    <n v="1018.4"/>
    <x v="41"/>
    <d v="2025-02-12T00:00:00"/>
    <s v="M"/>
    <x v="0"/>
    <x v="0"/>
    <x v="0"/>
    <x v="22"/>
    <x v="3"/>
    <n v="7"/>
    <x v="1"/>
  </r>
  <r>
    <s v="TX501061"/>
    <x v="18"/>
    <x v="1"/>
    <n v="30.2"/>
    <n v="60.4"/>
    <x v="41"/>
    <d v="2025-02-13T00:00:00"/>
    <s v=""/>
    <x v="2"/>
    <x v="2"/>
    <x v="0"/>
    <x v="3"/>
    <x v="1"/>
    <n v="7"/>
    <x v="0"/>
  </r>
  <r>
    <s v="TX501062"/>
    <x v="15"/>
    <x v="13"/>
    <n v="83.4"/>
    <n v="500.40000000000003"/>
    <x v="41"/>
    <d v="2025-02-12T00:00:00"/>
    <s v="M"/>
    <x v="1"/>
    <x v="2"/>
    <x v="0"/>
    <x v="3"/>
    <x v="3"/>
    <n v="7"/>
    <x v="1"/>
  </r>
  <r>
    <s v="TX501063"/>
    <x v="13"/>
    <x v="4"/>
    <n v="16.600000000000001"/>
    <n v="199.20000000000002"/>
    <x v="41"/>
    <d v="2025-02-13T00:00:00"/>
    <s v="M"/>
    <x v="1"/>
    <x v="0"/>
    <x v="0"/>
    <x v="3"/>
    <x v="1"/>
    <n v="7"/>
    <x v="1"/>
  </r>
  <r>
    <s v="TX501064"/>
    <x v="8"/>
    <x v="14"/>
    <n v="21.9"/>
    <n v="372.29999999999995"/>
    <x v="41"/>
    <d v="2025-02-13T00:00:00"/>
    <s v="F"/>
    <x v="4"/>
    <x v="1"/>
    <x v="0"/>
    <x v="3"/>
    <x v="1"/>
    <n v="7"/>
    <x v="2"/>
  </r>
  <r>
    <s v="TX501065"/>
    <x v="8"/>
    <x v="31"/>
    <n v="33.799999999999997"/>
    <n v="946.39999999999986"/>
    <x v="41"/>
    <d v="2025-02-13T00:00:00"/>
    <s v="M"/>
    <x v="2"/>
    <x v="4"/>
    <x v="0"/>
    <x v="3"/>
    <x v="1"/>
    <n v="7"/>
    <x v="1"/>
  </r>
  <r>
    <s v="TX501066"/>
    <x v="18"/>
    <x v="1"/>
    <n v="53.2"/>
    <n v="106.4"/>
    <x v="41"/>
    <d v="2025-02-11T00:00:00"/>
    <s v="M"/>
    <x v="1"/>
    <x v="0"/>
    <x v="0"/>
    <x v="3"/>
    <x v="7"/>
    <n v="7"/>
    <x v="1"/>
  </r>
  <r>
    <s v="TX501067"/>
    <x v="2"/>
    <x v="1"/>
    <n v="176.7"/>
    <n v="353.4"/>
    <x v="41"/>
    <d v="2025-02-14T00:00:00"/>
    <s v="F"/>
    <x v="2"/>
    <x v="0"/>
    <x v="0"/>
    <x v="3"/>
    <x v="2"/>
    <n v="7"/>
    <x v="2"/>
  </r>
  <r>
    <s v="TX501068"/>
    <x v="12"/>
    <x v="2"/>
    <n v="54"/>
    <n v="162"/>
    <x v="41"/>
    <d v="2025-02-14T00:00:00"/>
    <s v="M"/>
    <x v="0"/>
    <x v="1"/>
    <x v="0"/>
    <x v="3"/>
    <x v="2"/>
    <n v="7"/>
    <x v="1"/>
  </r>
  <r>
    <s v="TX501069"/>
    <x v="9"/>
    <x v="1"/>
    <n v="70.099999999999994"/>
    <n v="140.19999999999999"/>
    <x v="41"/>
    <d v="2025-02-19T00:00:00"/>
    <s v="F"/>
    <x v="3"/>
    <x v="2"/>
    <x v="0"/>
    <x v="3"/>
    <x v="9"/>
    <n v="7"/>
    <x v="2"/>
  </r>
  <r>
    <s v="TX501070"/>
    <x v="8"/>
    <x v="0"/>
    <n v="26.5"/>
    <n v="26.5"/>
    <x v="41"/>
    <d v="2025-02-13T00:00:00"/>
    <s v="F"/>
    <x v="1"/>
    <x v="0"/>
    <x v="0"/>
    <x v="3"/>
    <x v="1"/>
    <n v="7"/>
    <x v="2"/>
  </r>
  <r>
    <s v="TX501071"/>
    <x v="7"/>
    <x v="9"/>
    <n v="89"/>
    <n v="445"/>
    <x v="41"/>
    <d v="2025-02-13T00:00:00"/>
    <s v="M"/>
    <x v="2"/>
    <x v="4"/>
    <x v="0"/>
    <x v="3"/>
    <x v="1"/>
    <n v="7"/>
    <x v="1"/>
  </r>
  <r>
    <s v="TX501072"/>
    <x v="1"/>
    <x v="13"/>
    <n v="47"/>
    <n v="282"/>
    <x v="41"/>
    <d v="2025-02-14T00:00:00"/>
    <s v="F"/>
    <x v="3"/>
    <x v="0"/>
    <x v="0"/>
    <x v="24"/>
    <x v="2"/>
    <n v="7"/>
    <x v="2"/>
  </r>
  <r>
    <s v="TX501073"/>
    <x v="3"/>
    <x v="1"/>
    <n v="55.2"/>
    <n v="110.4"/>
    <x v="41"/>
    <d v="2025-02-14T00:00:00"/>
    <s v="M"/>
    <x v="1"/>
    <x v="1"/>
    <x v="0"/>
    <x v="6"/>
    <x v="2"/>
    <n v="7"/>
    <x v="1"/>
  </r>
  <r>
    <s v="TX501074"/>
    <x v="8"/>
    <x v="39"/>
    <n v="33.299999999999997"/>
    <n v="1398.6"/>
    <x v="41"/>
    <d v="2025-02-25T00:00:00"/>
    <s v="M"/>
    <x v="1"/>
    <x v="2"/>
    <x v="0"/>
    <x v="6"/>
    <x v="12"/>
    <n v="7"/>
    <x v="1"/>
  </r>
  <r>
    <s v="TX501075"/>
    <x v="2"/>
    <x v="12"/>
    <n v="110.9"/>
    <n v="443.6"/>
    <x v="42"/>
    <d v="2025-02-12T00:00:00"/>
    <s v="M"/>
    <x v="2"/>
    <x v="4"/>
    <x v="0"/>
    <x v="6"/>
    <x v="7"/>
    <n v="7"/>
    <x v="1"/>
  </r>
  <r>
    <s v="TX501076"/>
    <x v="2"/>
    <x v="13"/>
    <n v="67.3"/>
    <n v="403.79999999999995"/>
    <x v="42"/>
    <d v="2025-02-13T00:00:00"/>
    <s v="M"/>
    <x v="0"/>
    <x v="0"/>
    <x v="0"/>
    <x v="8"/>
    <x v="3"/>
    <n v="7"/>
    <x v="1"/>
  </r>
  <r>
    <s v="TX501077"/>
    <x v="6"/>
    <x v="2"/>
    <n v="69.7"/>
    <n v="209.10000000000002"/>
    <x v="42"/>
    <d v="2025-02-13T00:00:00"/>
    <s v="M"/>
    <x v="2"/>
    <x v="1"/>
    <x v="0"/>
    <x v="8"/>
    <x v="3"/>
    <n v="7"/>
    <x v="1"/>
  </r>
  <r>
    <s v="TX501078"/>
    <x v="5"/>
    <x v="0"/>
    <n v="39.1"/>
    <n v="39.1"/>
    <x v="42"/>
    <d v="2025-02-17T00:00:00"/>
    <s v="M"/>
    <x v="0"/>
    <x v="1"/>
    <x v="0"/>
    <x v="17"/>
    <x v="0"/>
    <n v="7"/>
    <x v="1"/>
  </r>
  <r>
    <s v="TX501079"/>
    <x v="2"/>
    <x v="2"/>
    <n v="208.6"/>
    <n v="625.79999999999995"/>
    <x v="42"/>
    <d v="2025-02-12T00:00:00"/>
    <s v="M"/>
    <x v="4"/>
    <x v="2"/>
    <x v="0"/>
    <x v="17"/>
    <x v="7"/>
    <n v="7"/>
    <x v="1"/>
  </r>
  <r>
    <s v="TX501080"/>
    <x v="15"/>
    <x v="2"/>
    <n v="27.8"/>
    <n v="83.4"/>
    <x v="42"/>
    <d v="2025-02-13T00:00:00"/>
    <s v="M"/>
    <x v="3"/>
    <x v="1"/>
    <x v="0"/>
    <x v="11"/>
    <x v="3"/>
    <n v="7"/>
    <x v="1"/>
  </r>
  <r>
    <s v="TX501081"/>
    <x v="10"/>
    <x v="9"/>
    <n v="29.4"/>
    <n v="147"/>
    <x v="42"/>
    <d v="2025-02-14T00:00:00"/>
    <s v="F"/>
    <x v="0"/>
    <x v="0"/>
    <x v="0"/>
    <x v="11"/>
    <x v="1"/>
    <n v="7"/>
    <x v="2"/>
  </r>
  <r>
    <s v="TX501082"/>
    <x v="9"/>
    <x v="1"/>
    <n v="29.2"/>
    <n v="58.4"/>
    <x v="42"/>
    <d v="2025-02-14T00:00:00"/>
    <s v="F"/>
    <x v="1"/>
    <x v="2"/>
    <x v="0"/>
    <x v="20"/>
    <x v="1"/>
    <n v="7"/>
    <x v="2"/>
  </r>
  <r>
    <s v="TX501083"/>
    <x v="10"/>
    <x v="9"/>
    <n v="26.5"/>
    <n v="132.5"/>
    <x v="42"/>
    <d v="2025-02-14T00:00:00"/>
    <s v="F"/>
    <x v="0"/>
    <x v="0"/>
    <x v="0"/>
    <x v="52"/>
    <x v="1"/>
    <n v="7"/>
    <x v="2"/>
  </r>
  <r>
    <s v="TX501084"/>
    <x v="5"/>
    <x v="0"/>
    <n v="30.3"/>
    <n v="30.3"/>
    <x v="42"/>
    <d v="2025-02-13T00:00:00"/>
    <s v="F"/>
    <x v="4"/>
    <x v="1"/>
    <x v="0"/>
    <x v="13"/>
    <x v="3"/>
    <n v="7"/>
    <x v="2"/>
  </r>
  <r>
    <s v="TX501085"/>
    <x v="16"/>
    <x v="4"/>
    <n v="39.700000000000003"/>
    <n v="476.40000000000003"/>
    <x v="42"/>
    <d v="2025-02-13T00:00:00"/>
    <s v="F"/>
    <x v="0"/>
    <x v="0"/>
    <x v="0"/>
    <x v="21"/>
    <x v="3"/>
    <n v="7"/>
    <x v="2"/>
  </r>
  <r>
    <s v="TX501086"/>
    <x v="7"/>
    <x v="7"/>
    <n v="58.9"/>
    <n v="589"/>
    <x v="42"/>
    <d v="2025-02-14T00:00:00"/>
    <s v="F"/>
    <x v="1"/>
    <x v="4"/>
    <x v="0"/>
    <x v="21"/>
    <x v="1"/>
    <n v="7"/>
    <x v="2"/>
  </r>
  <r>
    <s v="TX501087"/>
    <x v="2"/>
    <x v="1"/>
    <n v="174.1"/>
    <n v="348.2"/>
    <x v="42"/>
    <d v="2025-02-14T00:00:00"/>
    <s v="F"/>
    <x v="0"/>
    <x v="1"/>
    <x v="0"/>
    <x v="46"/>
    <x v="1"/>
    <n v="7"/>
    <x v="2"/>
  </r>
  <r>
    <s v="TX501088"/>
    <x v="6"/>
    <x v="1"/>
    <n v="70.8"/>
    <n v="141.6"/>
    <x v="42"/>
    <d v="2025-02-15T00:00:00"/>
    <s v="M"/>
    <x v="2"/>
    <x v="0"/>
    <x v="0"/>
    <x v="22"/>
    <x v="2"/>
    <n v="7"/>
    <x v="1"/>
  </r>
  <r>
    <s v="TX501089"/>
    <x v="7"/>
    <x v="1"/>
    <n v="57.4"/>
    <n v="114.8"/>
    <x v="42"/>
    <d v="2025-02-14T00:00:00"/>
    <s v="F"/>
    <x v="1"/>
    <x v="1"/>
    <x v="0"/>
    <x v="34"/>
    <x v="1"/>
    <n v="7"/>
    <x v="2"/>
  </r>
  <r>
    <s v="TX501090"/>
    <x v="0"/>
    <x v="1"/>
    <n v="28.5"/>
    <n v="57"/>
    <x v="42"/>
    <d v="2025-02-14T00:00:00"/>
    <s v="M"/>
    <x v="3"/>
    <x v="1"/>
    <x v="0"/>
    <x v="3"/>
    <x v="1"/>
    <n v="7"/>
    <x v="1"/>
  </r>
  <r>
    <s v="TX501091"/>
    <x v="2"/>
    <x v="28"/>
    <n v="106.6"/>
    <n v="2132"/>
    <x v="42"/>
    <d v="2025-02-13T00:00:00"/>
    <s v=""/>
    <x v="1"/>
    <x v="4"/>
    <x v="0"/>
    <x v="3"/>
    <x v="3"/>
    <n v="7"/>
    <x v="0"/>
  </r>
  <r>
    <s v="TX501092"/>
    <x v="2"/>
    <x v="2"/>
    <n v="119.7"/>
    <n v="359.1"/>
    <x v="42"/>
    <d v="2025-02-13T00:00:00"/>
    <s v="F"/>
    <x v="1"/>
    <x v="4"/>
    <x v="0"/>
    <x v="3"/>
    <x v="3"/>
    <n v="7"/>
    <x v="2"/>
  </r>
  <r>
    <s v="TX501093"/>
    <x v="18"/>
    <x v="0"/>
    <n v="73.3"/>
    <n v="73.3"/>
    <x v="42"/>
    <d v="2025-02-17T00:00:00"/>
    <s v="F"/>
    <x v="0"/>
    <x v="2"/>
    <x v="0"/>
    <x v="3"/>
    <x v="0"/>
    <n v="7"/>
    <x v="2"/>
  </r>
  <r>
    <s v="TX501094"/>
    <x v="0"/>
    <x v="1"/>
    <n v="25.8"/>
    <n v="51.6"/>
    <x v="42"/>
    <d v="2025-02-26T00:00:00"/>
    <s v="M"/>
    <x v="2"/>
    <x v="0"/>
    <x v="0"/>
    <x v="3"/>
    <x v="12"/>
    <n v="7"/>
    <x v="1"/>
  </r>
  <r>
    <s v="TX501095"/>
    <x v="17"/>
    <x v="2"/>
    <n v="49.1"/>
    <n v="147.30000000000001"/>
    <x v="42"/>
    <d v="2025-02-14T00:00:00"/>
    <s v="F"/>
    <x v="0"/>
    <x v="0"/>
    <x v="0"/>
    <x v="24"/>
    <x v="1"/>
    <n v="7"/>
    <x v="2"/>
  </r>
  <r>
    <s v="TX501096"/>
    <x v="1"/>
    <x v="0"/>
    <n v="44.9"/>
    <n v="44.9"/>
    <x v="42"/>
    <d v="2025-02-15T00:00:00"/>
    <s v="F"/>
    <x v="3"/>
    <x v="2"/>
    <x v="0"/>
    <x v="6"/>
    <x v="2"/>
    <n v="7"/>
    <x v="2"/>
  </r>
  <r>
    <s v="TX501097"/>
    <x v="15"/>
    <x v="3"/>
    <n v="29.9"/>
    <n v="209.29999999999998"/>
    <x v="42"/>
    <d v="2025-02-13T00:00:00"/>
    <s v="F"/>
    <x v="0"/>
    <x v="0"/>
    <x v="0"/>
    <x v="6"/>
    <x v="3"/>
    <n v="7"/>
    <x v="2"/>
  </r>
  <r>
    <s v="TX501098"/>
    <x v="7"/>
    <x v="1"/>
    <n v="54.3"/>
    <n v="108.6"/>
    <x v="43"/>
    <d v="2025-02-14T00:00:00"/>
    <s v="M"/>
    <x v="3"/>
    <x v="0"/>
    <x v="0"/>
    <x v="36"/>
    <x v="3"/>
    <n v="7"/>
    <x v="1"/>
  </r>
  <r>
    <s v="TX501099"/>
    <x v="9"/>
    <x v="12"/>
    <n v="57"/>
    <n v="228"/>
    <x v="43"/>
    <d v="2025-02-15T00:00:00"/>
    <s v="F"/>
    <x v="0"/>
    <x v="0"/>
    <x v="0"/>
    <x v="8"/>
    <x v="1"/>
    <n v="7"/>
    <x v="2"/>
  </r>
  <r>
    <s v="TX501100"/>
    <x v="2"/>
    <x v="0"/>
    <n v="139.19999999999999"/>
    <n v="139.19999999999999"/>
    <x v="43"/>
    <d v="2025-02-14T00:00:00"/>
    <s v="F"/>
    <x v="3"/>
    <x v="2"/>
    <x v="0"/>
    <x v="8"/>
    <x v="3"/>
    <n v="7"/>
    <x v="2"/>
  </r>
  <r>
    <s v="TX501101"/>
    <x v="10"/>
    <x v="0"/>
    <n v="33"/>
    <n v="33"/>
    <x v="43"/>
    <d v="2025-02-16T00:00:00"/>
    <s v="F"/>
    <x v="0"/>
    <x v="2"/>
    <x v="0"/>
    <x v="8"/>
    <x v="2"/>
    <n v="7"/>
    <x v="2"/>
  </r>
  <r>
    <s v="TX501102"/>
    <x v="11"/>
    <x v="13"/>
    <n v="80.2"/>
    <n v="481.20000000000005"/>
    <x v="43"/>
    <d v="2025-02-15T00:00:00"/>
    <s v="M"/>
    <x v="1"/>
    <x v="4"/>
    <x v="0"/>
    <x v="8"/>
    <x v="1"/>
    <n v="7"/>
    <x v="1"/>
  </r>
  <r>
    <s v="TX501103"/>
    <x v="18"/>
    <x v="8"/>
    <n v="49"/>
    <n v="392"/>
    <x v="43"/>
    <d v="2025-02-14T00:00:00"/>
    <s v=""/>
    <x v="2"/>
    <x v="1"/>
    <x v="0"/>
    <x v="9"/>
    <x v="3"/>
    <n v="7"/>
    <x v="0"/>
  </r>
  <r>
    <s v="TX501104"/>
    <x v="1"/>
    <x v="12"/>
    <n v="104.4"/>
    <n v="417.6"/>
    <x v="43"/>
    <d v="2025-02-13T00:00:00"/>
    <s v="F"/>
    <x v="0"/>
    <x v="0"/>
    <x v="0"/>
    <x v="9"/>
    <x v="7"/>
    <n v="7"/>
    <x v="2"/>
  </r>
  <r>
    <s v="TX501105"/>
    <x v="3"/>
    <x v="0"/>
    <n v="41.6"/>
    <n v="41.6"/>
    <x v="43"/>
    <d v="2025-02-16T00:00:00"/>
    <s v="M"/>
    <x v="3"/>
    <x v="0"/>
    <x v="0"/>
    <x v="11"/>
    <x v="2"/>
    <n v="7"/>
    <x v="1"/>
  </r>
  <r>
    <s v="TX501106"/>
    <x v="19"/>
    <x v="1"/>
    <n v="16.399999999999999"/>
    <n v="32.799999999999997"/>
    <x v="43"/>
    <d v="2025-02-14T00:00:00"/>
    <s v="O"/>
    <x v="0"/>
    <x v="2"/>
    <x v="0"/>
    <x v="11"/>
    <x v="3"/>
    <n v="7"/>
    <x v="3"/>
  </r>
  <r>
    <s v="TX501107"/>
    <x v="8"/>
    <x v="1"/>
    <n v="22"/>
    <n v="44"/>
    <x v="43"/>
    <d v="2025-02-14T00:00:00"/>
    <s v="M"/>
    <x v="2"/>
    <x v="2"/>
    <x v="0"/>
    <x v="53"/>
    <x v="3"/>
    <n v="7"/>
    <x v="1"/>
  </r>
  <r>
    <s v="TX501108"/>
    <x v="15"/>
    <x v="1"/>
    <n v="33.6"/>
    <n v="67.2"/>
    <x v="43"/>
    <d v="2025-02-18T00:00:00"/>
    <s v="F"/>
    <x v="0"/>
    <x v="0"/>
    <x v="0"/>
    <x v="21"/>
    <x v="0"/>
    <n v="7"/>
    <x v="2"/>
  </r>
  <r>
    <s v="TX501109"/>
    <x v="11"/>
    <x v="13"/>
    <n v="43"/>
    <n v="258"/>
    <x v="43"/>
    <d v="2025-02-14T00:00:00"/>
    <s v="F"/>
    <x v="2"/>
    <x v="0"/>
    <x v="0"/>
    <x v="21"/>
    <x v="3"/>
    <n v="7"/>
    <x v="2"/>
  </r>
  <r>
    <s v="TX501110"/>
    <x v="6"/>
    <x v="9"/>
    <n v="108.8"/>
    <n v="544"/>
    <x v="43"/>
    <d v="2025-02-16T00:00:00"/>
    <s v="F"/>
    <x v="4"/>
    <x v="2"/>
    <x v="0"/>
    <x v="21"/>
    <x v="2"/>
    <n v="7"/>
    <x v="2"/>
  </r>
  <r>
    <s v="TX501111"/>
    <x v="0"/>
    <x v="11"/>
    <n v="29.3"/>
    <n v="263.7"/>
    <x v="43"/>
    <d v="2025-02-15T00:00:00"/>
    <s v="M"/>
    <x v="4"/>
    <x v="2"/>
    <x v="0"/>
    <x v="21"/>
    <x v="1"/>
    <n v="7"/>
    <x v="1"/>
  </r>
  <r>
    <s v="TX501112"/>
    <x v="2"/>
    <x v="0"/>
    <n v="122.7"/>
    <n v="122.7"/>
    <x v="43"/>
    <d v="2025-02-16T00:00:00"/>
    <s v="O"/>
    <x v="0"/>
    <x v="2"/>
    <x v="0"/>
    <x v="1"/>
    <x v="2"/>
    <n v="7"/>
    <x v="3"/>
  </r>
  <r>
    <s v="TX501113"/>
    <x v="4"/>
    <x v="3"/>
    <n v="22.9"/>
    <n v="160.29999999999998"/>
    <x v="43"/>
    <d v="2025-02-14T00:00:00"/>
    <s v="F"/>
    <x v="0"/>
    <x v="0"/>
    <x v="0"/>
    <x v="42"/>
    <x v="3"/>
    <n v="7"/>
    <x v="2"/>
  </r>
  <r>
    <s v="TX501114"/>
    <x v="8"/>
    <x v="7"/>
    <n v="25.5"/>
    <n v="255"/>
    <x v="43"/>
    <d v="2025-02-20T00:00:00"/>
    <s v="F"/>
    <x v="0"/>
    <x v="0"/>
    <x v="0"/>
    <x v="33"/>
    <x v="6"/>
    <n v="7"/>
    <x v="2"/>
  </r>
  <r>
    <s v="TX501115"/>
    <x v="17"/>
    <x v="2"/>
    <n v="23.4"/>
    <n v="70.199999999999989"/>
    <x v="43"/>
    <d v="2025-02-17T00:00:00"/>
    <s v="F"/>
    <x v="0"/>
    <x v="2"/>
    <x v="0"/>
    <x v="3"/>
    <x v="5"/>
    <n v="7"/>
    <x v="2"/>
  </r>
  <r>
    <s v="TX501116"/>
    <x v="5"/>
    <x v="8"/>
    <n v="27.4"/>
    <n v="219.2"/>
    <x v="43"/>
    <d v="2025-02-16T00:00:00"/>
    <s v="F"/>
    <x v="2"/>
    <x v="0"/>
    <x v="0"/>
    <x v="3"/>
    <x v="2"/>
    <n v="7"/>
    <x v="2"/>
  </r>
  <r>
    <s v="TX501117"/>
    <x v="5"/>
    <x v="9"/>
    <n v="68.400000000000006"/>
    <n v="342"/>
    <x v="43"/>
    <d v="2025-02-14T00:00:00"/>
    <s v="F"/>
    <x v="0"/>
    <x v="0"/>
    <x v="0"/>
    <x v="3"/>
    <x v="3"/>
    <n v="7"/>
    <x v="2"/>
  </r>
  <r>
    <s v="TX501118"/>
    <x v="6"/>
    <x v="0"/>
    <n v="51.9"/>
    <n v="51.9"/>
    <x v="43"/>
    <d v="2025-02-13T00:00:00"/>
    <s v="F"/>
    <x v="0"/>
    <x v="0"/>
    <x v="0"/>
    <x v="3"/>
    <x v="7"/>
    <n v="7"/>
    <x v="2"/>
  </r>
  <r>
    <s v="TX501119"/>
    <x v="0"/>
    <x v="9"/>
    <n v="26.4"/>
    <n v="132"/>
    <x v="43"/>
    <d v="2025-02-16T00:00:00"/>
    <s v="F"/>
    <x v="0"/>
    <x v="2"/>
    <x v="0"/>
    <x v="3"/>
    <x v="2"/>
    <n v="7"/>
    <x v="2"/>
  </r>
  <r>
    <s v="TX501120"/>
    <x v="12"/>
    <x v="1"/>
    <n v="117"/>
    <n v="234"/>
    <x v="43"/>
    <d v="2025-02-14T00:00:00"/>
    <s v="F"/>
    <x v="1"/>
    <x v="1"/>
    <x v="0"/>
    <x v="3"/>
    <x v="3"/>
    <n v="7"/>
    <x v="2"/>
  </r>
  <r>
    <s v="TX501121"/>
    <x v="7"/>
    <x v="2"/>
    <n v="49.6"/>
    <n v="148.80000000000001"/>
    <x v="44"/>
    <d v="2025-02-16T00:00:00"/>
    <s v="F"/>
    <x v="0"/>
    <x v="0"/>
    <x v="0"/>
    <x v="3"/>
    <x v="1"/>
    <n v="7"/>
    <x v="2"/>
  </r>
  <r>
    <s v="TX501122"/>
    <x v="4"/>
    <x v="2"/>
    <n v="38"/>
    <n v="114"/>
    <x v="44"/>
    <d v="2025-02-17T00:00:00"/>
    <s v="M"/>
    <x v="2"/>
    <x v="4"/>
    <x v="0"/>
    <x v="3"/>
    <x v="2"/>
    <n v="7"/>
    <x v="1"/>
  </r>
  <r>
    <s v="TX501123"/>
    <x v="0"/>
    <x v="2"/>
    <n v="20.6"/>
    <n v="61.800000000000004"/>
    <x v="44"/>
    <d v="2025-02-16T00:00:00"/>
    <s v="F"/>
    <x v="4"/>
    <x v="2"/>
    <x v="0"/>
    <x v="3"/>
    <x v="1"/>
    <n v="7"/>
    <x v="2"/>
  </r>
  <r>
    <s v="TX501124"/>
    <x v="0"/>
    <x v="1"/>
    <n v="16"/>
    <n v="32"/>
    <x v="44"/>
    <d v="2025-02-15T00:00:00"/>
    <s v="M"/>
    <x v="1"/>
    <x v="1"/>
    <x v="0"/>
    <x v="49"/>
    <x v="3"/>
    <n v="7"/>
    <x v="1"/>
  </r>
  <r>
    <s v="TX501125"/>
    <x v="15"/>
    <x v="12"/>
    <n v="49.3"/>
    <n v="197.2"/>
    <x v="44"/>
    <d v="2025-02-15T00:00:00"/>
    <s v="F"/>
    <x v="2"/>
    <x v="0"/>
    <x v="0"/>
    <x v="23"/>
    <x v="3"/>
    <n v="7"/>
    <x v="2"/>
  </r>
  <r>
    <s v="TX501126"/>
    <x v="9"/>
    <x v="1"/>
    <n v="24.1"/>
    <n v="48.2"/>
    <x v="44"/>
    <d v="2025-02-18T00:00:00"/>
    <s v="F"/>
    <x v="0"/>
    <x v="0"/>
    <x v="0"/>
    <x v="6"/>
    <x v="5"/>
    <n v="7"/>
    <x v="2"/>
  </r>
  <r>
    <s v="TX501127"/>
    <x v="15"/>
    <x v="8"/>
    <n v="32.700000000000003"/>
    <n v="261.60000000000002"/>
    <x v="44"/>
    <d v="2025-02-15T00:00:00"/>
    <s v="F"/>
    <x v="1"/>
    <x v="0"/>
    <x v="0"/>
    <x v="6"/>
    <x v="3"/>
    <n v="7"/>
    <x v="2"/>
  </r>
  <r>
    <s v="TX501128"/>
    <x v="6"/>
    <x v="2"/>
    <n v="74.400000000000006"/>
    <n v="223.20000000000002"/>
    <x v="44"/>
    <d v="2025-02-15T00:00:00"/>
    <s v="F"/>
    <x v="3"/>
    <x v="2"/>
    <x v="0"/>
    <x v="8"/>
    <x v="3"/>
    <n v="7"/>
    <x v="2"/>
  </r>
  <r>
    <s v="TX501129"/>
    <x v="12"/>
    <x v="0"/>
    <n v="45.6"/>
    <n v="45.6"/>
    <x v="44"/>
    <d v="2025-02-18T00:00:00"/>
    <s v="F"/>
    <x v="4"/>
    <x v="0"/>
    <x v="0"/>
    <x v="8"/>
    <x v="5"/>
    <n v="7"/>
    <x v="2"/>
  </r>
  <r>
    <s v="TX501130"/>
    <x v="8"/>
    <x v="8"/>
    <n v="19.600000000000001"/>
    <n v="156.80000000000001"/>
    <x v="44"/>
    <d v="2025-02-27T00:00:00"/>
    <s v="F"/>
    <x v="0"/>
    <x v="0"/>
    <x v="0"/>
    <x v="8"/>
    <x v="10"/>
    <n v="7"/>
    <x v="2"/>
  </r>
  <r>
    <s v="TX501131"/>
    <x v="9"/>
    <x v="0"/>
    <n v="51.8"/>
    <n v="51.8"/>
    <x v="44"/>
    <d v="2025-02-15T00:00:00"/>
    <s v="F"/>
    <x v="1"/>
    <x v="0"/>
    <x v="0"/>
    <x v="8"/>
    <x v="3"/>
    <n v="7"/>
    <x v="2"/>
  </r>
  <r>
    <s v="TX501132"/>
    <x v="6"/>
    <x v="0"/>
    <n v="74.7"/>
    <n v="74.7"/>
    <x v="44"/>
    <d v="2025-02-15T00:00:00"/>
    <s v="M"/>
    <x v="0"/>
    <x v="1"/>
    <x v="0"/>
    <x v="8"/>
    <x v="3"/>
    <n v="7"/>
    <x v="1"/>
  </r>
  <r>
    <s v="TX501133"/>
    <x v="19"/>
    <x v="2"/>
    <n v="22.4"/>
    <n v="67.199999999999989"/>
    <x v="44"/>
    <d v="2025-02-15T00:00:00"/>
    <s v="F"/>
    <x v="1"/>
    <x v="2"/>
    <x v="0"/>
    <x v="9"/>
    <x v="3"/>
    <n v="7"/>
    <x v="2"/>
  </r>
  <r>
    <s v="TX501134"/>
    <x v="1"/>
    <x v="12"/>
    <n v="31.4"/>
    <n v="125.6"/>
    <x v="44"/>
    <d v="2025-02-15T00:00:00"/>
    <s v="F"/>
    <x v="1"/>
    <x v="0"/>
    <x v="0"/>
    <x v="9"/>
    <x v="3"/>
    <n v="7"/>
    <x v="2"/>
  </r>
  <r>
    <s v="TX501135"/>
    <x v="6"/>
    <x v="0"/>
    <n v="94"/>
    <n v="94"/>
    <x v="44"/>
    <d v="2025-02-14T00:00:00"/>
    <s v="F"/>
    <x v="1"/>
    <x v="2"/>
    <x v="0"/>
    <x v="10"/>
    <x v="7"/>
    <n v="7"/>
    <x v="2"/>
  </r>
  <r>
    <s v="TX501136"/>
    <x v="10"/>
    <x v="0"/>
    <n v="22.3"/>
    <n v="22.3"/>
    <x v="44"/>
    <d v="2025-02-15T00:00:00"/>
    <s v="M"/>
    <x v="4"/>
    <x v="0"/>
    <x v="0"/>
    <x v="20"/>
    <x v="3"/>
    <n v="7"/>
    <x v="1"/>
  </r>
  <r>
    <s v="TX501137"/>
    <x v="0"/>
    <x v="0"/>
    <n v="21.9"/>
    <n v="21.9"/>
    <x v="44"/>
    <d v="2025-02-17T00:00:00"/>
    <s v="F"/>
    <x v="2"/>
    <x v="0"/>
    <x v="0"/>
    <x v="21"/>
    <x v="2"/>
    <n v="7"/>
    <x v="2"/>
  </r>
  <r>
    <s v="TX501138"/>
    <x v="17"/>
    <x v="2"/>
    <n v="27"/>
    <n v="81"/>
    <x v="44"/>
    <d v="2025-02-16T00:00:00"/>
    <s v="F"/>
    <x v="4"/>
    <x v="2"/>
    <x v="0"/>
    <x v="2"/>
    <x v="1"/>
    <n v="7"/>
    <x v="2"/>
  </r>
  <r>
    <s v="TX501139"/>
    <x v="2"/>
    <x v="12"/>
    <n v="149.6"/>
    <n v="598.4"/>
    <x v="44"/>
    <d v="2025-02-14T00:00:00"/>
    <s v="F"/>
    <x v="4"/>
    <x v="0"/>
    <x v="0"/>
    <x v="22"/>
    <x v="7"/>
    <n v="7"/>
    <x v="2"/>
  </r>
  <r>
    <s v="TX501140"/>
    <x v="2"/>
    <x v="12"/>
    <n v="129.1"/>
    <n v="516.4"/>
    <x v="44"/>
    <d v="2025-02-24T00:00:00"/>
    <s v="M"/>
    <x v="0"/>
    <x v="1"/>
    <x v="0"/>
    <x v="3"/>
    <x v="14"/>
    <n v="7"/>
    <x v="1"/>
  </r>
  <r>
    <s v="TX501141"/>
    <x v="1"/>
    <x v="4"/>
    <n v="40.4"/>
    <n v="484.79999999999995"/>
    <x v="44"/>
    <d v="2025-02-15T00:00:00"/>
    <s v="M"/>
    <x v="1"/>
    <x v="1"/>
    <x v="0"/>
    <x v="3"/>
    <x v="3"/>
    <n v="7"/>
    <x v="1"/>
  </r>
  <r>
    <s v="TX501142"/>
    <x v="4"/>
    <x v="2"/>
    <n v="48.5"/>
    <n v="145.5"/>
    <x v="44"/>
    <d v="2025-02-16T00:00:00"/>
    <s v="F"/>
    <x v="0"/>
    <x v="4"/>
    <x v="0"/>
    <x v="3"/>
    <x v="1"/>
    <n v="7"/>
    <x v="2"/>
  </r>
  <r>
    <s v="TX501143"/>
    <x v="9"/>
    <x v="1"/>
    <n v="37.6"/>
    <n v="75.2"/>
    <x v="44"/>
    <d v="2025-02-16T00:00:00"/>
    <s v="F"/>
    <x v="1"/>
    <x v="2"/>
    <x v="0"/>
    <x v="3"/>
    <x v="1"/>
    <n v="7"/>
    <x v="2"/>
  </r>
  <r>
    <s v="TX501144"/>
    <x v="8"/>
    <x v="1"/>
    <n v="19.600000000000001"/>
    <n v="39.200000000000003"/>
    <x v="44"/>
    <d v="2025-02-15T00:00:00"/>
    <s v="M"/>
    <x v="3"/>
    <x v="4"/>
    <x v="0"/>
    <x v="43"/>
    <x v="3"/>
    <n v="7"/>
    <x v="1"/>
  </r>
  <r>
    <s v="TX501145"/>
    <x v="8"/>
    <x v="9"/>
    <n v="18.5"/>
    <n v="92.5"/>
    <x v="44"/>
    <d v="2025-02-15T00:00:00"/>
    <s v="F"/>
    <x v="2"/>
    <x v="1"/>
    <x v="0"/>
    <x v="6"/>
    <x v="3"/>
    <n v="7"/>
    <x v="2"/>
  </r>
  <r>
    <s v="TX501146"/>
    <x v="5"/>
    <x v="2"/>
    <n v="25.5"/>
    <n v="76.5"/>
    <x v="44"/>
    <d v="2025-02-16T00:00:00"/>
    <s v="F"/>
    <x v="4"/>
    <x v="1"/>
    <x v="0"/>
    <x v="6"/>
    <x v="1"/>
    <n v="7"/>
    <x v="2"/>
  </r>
  <r>
    <s v="TX501147"/>
    <x v="2"/>
    <x v="1"/>
    <n v="94.7"/>
    <n v="189.4"/>
    <x v="44"/>
    <d v="2025-02-15T00:00:00"/>
    <s v="F"/>
    <x v="2"/>
    <x v="0"/>
    <x v="0"/>
    <x v="36"/>
    <x v="3"/>
    <n v="7"/>
    <x v="2"/>
  </r>
  <r>
    <s v="TX501148"/>
    <x v="1"/>
    <x v="13"/>
    <n v="38.799999999999997"/>
    <n v="232.79999999999998"/>
    <x v="44"/>
    <d v="2025-02-19T00:00:00"/>
    <s v="F"/>
    <x v="2"/>
    <x v="2"/>
    <x v="0"/>
    <x v="8"/>
    <x v="0"/>
    <n v="7"/>
    <x v="2"/>
  </r>
  <r>
    <s v="TX501149"/>
    <x v="9"/>
    <x v="1"/>
    <n v="49.4"/>
    <n v="98.8"/>
    <x v="45"/>
    <d v="2025-02-23T00:00:00"/>
    <s v="M"/>
    <x v="4"/>
    <x v="1"/>
    <x v="0"/>
    <x v="8"/>
    <x v="9"/>
    <n v="7"/>
    <x v="1"/>
  </r>
  <r>
    <s v="TX501150"/>
    <x v="7"/>
    <x v="2"/>
    <n v="68"/>
    <n v="204"/>
    <x v="45"/>
    <d v="2025-02-18T00:00:00"/>
    <s v="M"/>
    <x v="0"/>
    <x v="2"/>
    <x v="0"/>
    <x v="8"/>
    <x v="2"/>
    <n v="7"/>
    <x v="1"/>
  </r>
  <r>
    <s v="TX501151"/>
    <x v="15"/>
    <x v="3"/>
    <n v="63.7"/>
    <n v="445.90000000000003"/>
    <x v="45"/>
    <d v="2025-02-16T00:00:00"/>
    <s v="F"/>
    <x v="2"/>
    <x v="2"/>
    <x v="0"/>
    <x v="8"/>
    <x v="3"/>
    <n v="7"/>
    <x v="2"/>
  </r>
  <r>
    <s v="TX501152"/>
    <x v="10"/>
    <x v="1"/>
    <n v="66.2"/>
    <n v="132.4"/>
    <x v="45"/>
    <d v="2025-02-16T00:00:00"/>
    <s v="F"/>
    <x v="4"/>
    <x v="2"/>
    <x v="0"/>
    <x v="17"/>
    <x v="3"/>
    <n v="7"/>
    <x v="2"/>
  </r>
  <r>
    <s v="TX501153"/>
    <x v="12"/>
    <x v="2"/>
    <n v="32.299999999999997"/>
    <n v="96.899999999999991"/>
    <x v="45"/>
    <d v="2025-02-16T00:00:00"/>
    <s v="O"/>
    <x v="2"/>
    <x v="1"/>
    <x v="0"/>
    <x v="9"/>
    <x v="3"/>
    <n v="7"/>
    <x v="3"/>
  </r>
  <r>
    <s v="TX501154"/>
    <x v="4"/>
    <x v="1"/>
    <n v="66.900000000000006"/>
    <n v="133.80000000000001"/>
    <x v="45"/>
    <d v="2025-02-18T00:00:00"/>
    <s v="M"/>
    <x v="1"/>
    <x v="0"/>
    <x v="0"/>
    <x v="11"/>
    <x v="2"/>
    <n v="7"/>
    <x v="1"/>
  </r>
  <r>
    <s v="TX501155"/>
    <x v="4"/>
    <x v="4"/>
    <n v="25.2"/>
    <n v="302.39999999999998"/>
    <x v="45"/>
    <d v="2025-02-19T00:00:00"/>
    <s v="F"/>
    <x v="0"/>
    <x v="1"/>
    <x v="0"/>
    <x v="11"/>
    <x v="5"/>
    <n v="7"/>
    <x v="2"/>
  </r>
  <r>
    <s v="TX501156"/>
    <x v="10"/>
    <x v="13"/>
    <n v="29.5"/>
    <n v="177"/>
    <x v="45"/>
    <d v="2025-02-16T00:00:00"/>
    <s v="M"/>
    <x v="2"/>
    <x v="0"/>
    <x v="0"/>
    <x v="11"/>
    <x v="3"/>
    <n v="7"/>
    <x v="1"/>
  </r>
  <r>
    <s v="TX501157"/>
    <x v="8"/>
    <x v="9"/>
    <n v="21.6"/>
    <n v="108"/>
    <x v="45"/>
    <d v="2025-02-17T00:00:00"/>
    <s v="F"/>
    <x v="0"/>
    <x v="2"/>
    <x v="0"/>
    <x v="32"/>
    <x v="1"/>
    <n v="7"/>
    <x v="2"/>
  </r>
  <r>
    <s v="TX501158"/>
    <x v="12"/>
    <x v="2"/>
    <n v="69"/>
    <n v="207"/>
    <x v="45"/>
    <d v="2025-02-16T00:00:00"/>
    <s v="F"/>
    <x v="0"/>
    <x v="0"/>
    <x v="0"/>
    <x v="18"/>
    <x v="3"/>
    <n v="7"/>
    <x v="2"/>
  </r>
  <r>
    <s v="TX501159"/>
    <x v="7"/>
    <x v="1"/>
    <n v="115"/>
    <n v="230"/>
    <x v="45"/>
    <d v="2025-02-19T00:00:00"/>
    <s v="M"/>
    <x v="0"/>
    <x v="2"/>
    <x v="0"/>
    <x v="18"/>
    <x v="5"/>
    <n v="7"/>
    <x v="1"/>
  </r>
  <r>
    <s v="TX501160"/>
    <x v="2"/>
    <x v="1"/>
    <n v="109.3"/>
    <n v="218.6"/>
    <x v="45"/>
    <d v="2025-02-17T00:00:00"/>
    <s v=""/>
    <x v="3"/>
    <x v="1"/>
    <x v="0"/>
    <x v="19"/>
    <x v="1"/>
    <n v="7"/>
    <x v="0"/>
  </r>
  <r>
    <s v="TX501161"/>
    <x v="9"/>
    <x v="1"/>
    <n v="66.599999999999994"/>
    <n v="133.19999999999999"/>
    <x v="45"/>
    <d v="2025-02-18T00:00:00"/>
    <s v=""/>
    <x v="4"/>
    <x v="1"/>
    <x v="0"/>
    <x v="19"/>
    <x v="2"/>
    <n v="7"/>
    <x v="0"/>
  </r>
  <r>
    <s v="TX501162"/>
    <x v="12"/>
    <x v="9"/>
    <n v="47.7"/>
    <n v="238.5"/>
    <x v="45"/>
    <d v="2025-02-16T00:00:00"/>
    <s v="M"/>
    <x v="3"/>
    <x v="2"/>
    <x v="0"/>
    <x v="21"/>
    <x v="3"/>
    <n v="7"/>
    <x v="1"/>
  </r>
  <r>
    <s v="TX501163"/>
    <x v="8"/>
    <x v="1"/>
    <n v="46"/>
    <n v="92"/>
    <x v="45"/>
    <d v="2025-02-16T00:00:00"/>
    <s v="F"/>
    <x v="4"/>
    <x v="4"/>
    <x v="0"/>
    <x v="22"/>
    <x v="3"/>
    <n v="7"/>
    <x v="2"/>
  </r>
  <r>
    <s v="TX501164"/>
    <x v="1"/>
    <x v="13"/>
    <n v="39.299999999999997"/>
    <n v="235.79999999999998"/>
    <x v="45"/>
    <d v="2025-02-17T00:00:00"/>
    <s v="M"/>
    <x v="3"/>
    <x v="2"/>
    <x v="0"/>
    <x v="3"/>
    <x v="1"/>
    <n v="7"/>
    <x v="1"/>
  </r>
  <r>
    <s v="TX501165"/>
    <x v="9"/>
    <x v="0"/>
    <n v="70.2"/>
    <n v="70.2"/>
    <x v="45"/>
    <d v="2025-02-16T00:00:00"/>
    <s v="F"/>
    <x v="0"/>
    <x v="4"/>
    <x v="0"/>
    <x v="3"/>
    <x v="3"/>
    <n v="7"/>
    <x v="2"/>
  </r>
  <r>
    <s v="TX501166"/>
    <x v="3"/>
    <x v="12"/>
    <n v="71.5"/>
    <n v="286"/>
    <x v="45"/>
    <d v="2025-02-15T00:00:00"/>
    <s v="F"/>
    <x v="1"/>
    <x v="2"/>
    <x v="0"/>
    <x v="3"/>
    <x v="7"/>
    <n v="7"/>
    <x v="2"/>
  </r>
  <r>
    <s v="TX501167"/>
    <x v="10"/>
    <x v="3"/>
    <n v="31"/>
    <n v="217"/>
    <x v="45"/>
    <d v="2025-02-22T00:00:00"/>
    <s v="F"/>
    <x v="3"/>
    <x v="2"/>
    <x v="0"/>
    <x v="3"/>
    <x v="6"/>
    <n v="7"/>
    <x v="2"/>
  </r>
  <r>
    <s v="TX501168"/>
    <x v="2"/>
    <x v="9"/>
    <n v="68.2"/>
    <n v="341"/>
    <x v="45"/>
    <d v="2025-02-20T00:00:00"/>
    <s v="F"/>
    <x v="0"/>
    <x v="2"/>
    <x v="0"/>
    <x v="3"/>
    <x v="0"/>
    <n v="7"/>
    <x v="2"/>
  </r>
  <r>
    <s v="TX501169"/>
    <x v="2"/>
    <x v="0"/>
    <n v="91.4"/>
    <n v="91.4"/>
    <x v="45"/>
    <d v="2025-02-19T00:00:00"/>
    <s v="F"/>
    <x v="1"/>
    <x v="2"/>
    <x v="0"/>
    <x v="6"/>
    <x v="5"/>
    <n v="7"/>
    <x v="2"/>
  </r>
  <r>
    <s v="TX501170"/>
    <x v="6"/>
    <x v="7"/>
    <n v="112.9"/>
    <n v="1129"/>
    <x v="45"/>
    <d v="2025-02-16T00:00:00"/>
    <s v="F"/>
    <x v="0"/>
    <x v="0"/>
    <x v="0"/>
    <x v="6"/>
    <x v="3"/>
    <n v="7"/>
    <x v="2"/>
  </r>
  <r>
    <s v="TX501171"/>
    <x v="17"/>
    <x v="11"/>
    <n v="33.700000000000003"/>
    <n v="303.3"/>
    <x v="45"/>
    <d v="2025-02-16T00:00:00"/>
    <s v="F"/>
    <x v="1"/>
    <x v="2"/>
    <x v="0"/>
    <x v="8"/>
    <x v="3"/>
    <n v="7"/>
    <x v="2"/>
  </r>
  <r>
    <s v="TX501172"/>
    <x v="15"/>
    <x v="7"/>
    <n v="35.299999999999997"/>
    <n v="353"/>
    <x v="45"/>
    <d v="2025-02-17T00:00:00"/>
    <s v="M"/>
    <x v="2"/>
    <x v="0"/>
    <x v="0"/>
    <x v="8"/>
    <x v="1"/>
    <n v="7"/>
    <x v="1"/>
  </r>
  <r>
    <s v="TX501173"/>
    <x v="18"/>
    <x v="2"/>
    <n v="45.6"/>
    <n v="136.80000000000001"/>
    <x v="45"/>
    <d v="2025-02-19T00:00:00"/>
    <s v="M"/>
    <x v="3"/>
    <x v="0"/>
    <x v="0"/>
    <x v="8"/>
    <x v="5"/>
    <n v="7"/>
    <x v="1"/>
  </r>
  <r>
    <s v="TX501174"/>
    <x v="7"/>
    <x v="3"/>
    <n v="47.1"/>
    <n v="329.7"/>
    <x v="45"/>
    <d v="2025-02-16T00:00:00"/>
    <s v="F"/>
    <x v="4"/>
    <x v="2"/>
    <x v="0"/>
    <x v="9"/>
    <x v="3"/>
    <n v="7"/>
    <x v="2"/>
  </r>
  <r>
    <s v="TX501175"/>
    <x v="8"/>
    <x v="9"/>
    <n v="16.2"/>
    <n v="81"/>
    <x v="45"/>
    <d v="2025-02-17T00:00:00"/>
    <s v="F"/>
    <x v="3"/>
    <x v="2"/>
    <x v="0"/>
    <x v="19"/>
    <x v="1"/>
    <n v="7"/>
    <x v="2"/>
  </r>
  <r>
    <s v="TX501176"/>
    <x v="1"/>
    <x v="1"/>
    <n v="159.69999999999999"/>
    <n v="319.39999999999998"/>
    <x v="46"/>
    <d v="2025-02-17T00:00:00"/>
    <s v="M"/>
    <x v="4"/>
    <x v="0"/>
    <x v="0"/>
    <x v="13"/>
    <x v="3"/>
    <n v="8"/>
    <x v="1"/>
  </r>
  <r>
    <s v="TX501177"/>
    <x v="8"/>
    <x v="12"/>
    <n v="19"/>
    <n v="76"/>
    <x v="46"/>
    <d v="2025-02-23T00:00:00"/>
    <s v="F"/>
    <x v="2"/>
    <x v="2"/>
    <x v="0"/>
    <x v="21"/>
    <x v="6"/>
    <n v="8"/>
    <x v="2"/>
  </r>
  <r>
    <s v="TX501178"/>
    <x v="6"/>
    <x v="13"/>
    <n v="91.1"/>
    <n v="546.59999999999991"/>
    <x v="46"/>
    <d v="2025-02-25T00:00:00"/>
    <s v="F"/>
    <x v="4"/>
    <x v="0"/>
    <x v="0"/>
    <x v="21"/>
    <x v="8"/>
    <n v="8"/>
    <x v="2"/>
  </r>
  <r>
    <s v="TX501179"/>
    <x v="2"/>
    <x v="9"/>
    <n v="94.1"/>
    <n v="470.5"/>
    <x v="46"/>
    <d v="2025-02-19T00:00:00"/>
    <s v=""/>
    <x v="1"/>
    <x v="1"/>
    <x v="0"/>
    <x v="21"/>
    <x v="2"/>
    <n v="8"/>
    <x v="0"/>
  </r>
  <r>
    <s v="TX501180"/>
    <x v="9"/>
    <x v="11"/>
    <n v="21.1"/>
    <n v="189.9"/>
    <x v="46"/>
    <d v="2025-02-17T00:00:00"/>
    <s v="F"/>
    <x v="4"/>
    <x v="2"/>
    <x v="0"/>
    <x v="51"/>
    <x v="3"/>
    <n v="8"/>
    <x v="2"/>
  </r>
  <r>
    <s v="TX501181"/>
    <x v="8"/>
    <x v="3"/>
    <n v="15.3"/>
    <n v="107.10000000000001"/>
    <x v="46"/>
    <d v="2025-02-24T00:00:00"/>
    <s v="F"/>
    <x v="2"/>
    <x v="0"/>
    <x v="0"/>
    <x v="1"/>
    <x v="9"/>
    <n v="8"/>
    <x v="2"/>
  </r>
  <r>
    <s v="TX501182"/>
    <x v="15"/>
    <x v="12"/>
    <n v="21.3"/>
    <n v="85.2"/>
    <x v="46"/>
    <d v="2025-02-19T00:00:00"/>
    <s v="M"/>
    <x v="1"/>
    <x v="0"/>
    <x v="0"/>
    <x v="3"/>
    <x v="2"/>
    <n v="8"/>
    <x v="1"/>
  </r>
  <r>
    <s v="TX501183"/>
    <x v="0"/>
    <x v="1"/>
    <n v="23.2"/>
    <n v="46.4"/>
    <x v="46"/>
    <d v="2025-02-16T00:00:00"/>
    <s v=""/>
    <x v="3"/>
    <x v="1"/>
    <x v="0"/>
    <x v="3"/>
    <x v="7"/>
    <n v="8"/>
    <x v="0"/>
  </r>
  <r>
    <s v="TX501184"/>
    <x v="4"/>
    <x v="2"/>
    <n v="25.7"/>
    <n v="77.099999999999994"/>
    <x v="46"/>
    <d v="2025-02-17T00:00:00"/>
    <s v="M"/>
    <x v="4"/>
    <x v="0"/>
    <x v="0"/>
    <x v="3"/>
    <x v="3"/>
    <n v="8"/>
    <x v="1"/>
  </r>
  <r>
    <s v="TX501185"/>
    <x v="0"/>
    <x v="11"/>
    <n v="31.6"/>
    <n v="284.40000000000003"/>
    <x v="46"/>
    <d v="2025-02-18T00:00:00"/>
    <s v="F"/>
    <x v="0"/>
    <x v="0"/>
    <x v="0"/>
    <x v="3"/>
    <x v="1"/>
    <n v="8"/>
    <x v="2"/>
  </r>
  <r>
    <s v="TX501186"/>
    <x v="6"/>
    <x v="0"/>
    <n v="64.2"/>
    <n v="64.2"/>
    <x v="46"/>
    <d v="2025-02-21T00:00:00"/>
    <s v="M"/>
    <x v="0"/>
    <x v="0"/>
    <x v="0"/>
    <x v="3"/>
    <x v="0"/>
    <n v="8"/>
    <x v="1"/>
  </r>
  <r>
    <s v="TX501187"/>
    <x v="8"/>
    <x v="1"/>
    <n v="55.8"/>
    <n v="111.6"/>
    <x v="46"/>
    <d v="2025-02-18T00:00:00"/>
    <s v=""/>
    <x v="0"/>
    <x v="0"/>
    <x v="0"/>
    <x v="3"/>
    <x v="1"/>
    <n v="8"/>
    <x v="0"/>
  </r>
  <r>
    <s v="TX501188"/>
    <x v="8"/>
    <x v="1"/>
    <n v="28.1"/>
    <n v="56.2"/>
    <x v="46"/>
    <d v="2025-02-17T00:00:00"/>
    <s v="F"/>
    <x v="4"/>
    <x v="1"/>
    <x v="0"/>
    <x v="3"/>
    <x v="3"/>
    <n v="8"/>
    <x v="2"/>
  </r>
  <r>
    <s v="TX501189"/>
    <x v="0"/>
    <x v="1"/>
    <n v="11.6"/>
    <n v="23.2"/>
    <x v="46"/>
    <d v="2025-02-18T00:00:00"/>
    <s v="F"/>
    <x v="1"/>
    <x v="0"/>
    <x v="0"/>
    <x v="24"/>
    <x v="1"/>
    <n v="8"/>
    <x v="2"/>
  </r>
  <r>
    <s v="TX501190"/>
    <x v="5"/>
    <x v="2"/>
    <n v="50.4"/>
    <n v="151.19999999999999"/>
    <x v="46"/>
    <d v="2025-02-17T00:00:00"/>
    <s v="M"/>
    <x v="4"/>
    <x v="2"/>
    <x v="0"/>
    <x v="25"/>
    <x v="3"/>
    <n v="8"/>
    <x v="1"/>
  </r>
  <r>
    <s v="TX501191"/>
    <x v="6"/>
    <x v="13"/>
    <n v="48.3"/>
    <n v="289.79999999999995"/>
    <x v="46"/>
    <d v="2025-02-20T00:00:00"/>
    <s v="F"/>
    <x v="0"/>
    <x v="0"/>
    <x v="0"/>
    <x v="25"/>
    <x v="5"/>
    <n v="8"/>
    <x v="2"/>
  </r>
  <r>
    <s v="TX501192"/>
    <x v="17"/>
    <x v="3"/>
    <n v="32.200000000000003"/>
    <n v="225.40000000000003"/>
    <x v="46"/>
    <d v="2025-02-18T00:00:00"/>
    <s v="F"/>
    <x v="2"/>
    <x v="0"/>
    <x v="0"/>
    <x v="25"/>
    <x v="1"/>
    <n v="8"/>
    <x v="2"/>
  </r>
  <r>
    <s v="TX501193"/>
    <x v="7"/>
    <x v="31"/>
    <n v="48.5"/>
    <n v="1358"/>
    <x v="46"/>
    <d v="2025-02-17T00:00:00"/>
    <s v="M"/>
    <x v="0"/>
    <x v="0"/>
    <x v="0"/>
    <x v="5"/>
    <x v="3"/>
    <n v="8"/>
    <x v="1"/>
  </r>
  <r>
    <s v="TX501194"/>
    <x v="2"/>
    <x v="9"/>
    <n v="62"/>
    <n v="310"/>
    <x v="46"/>
    <d v="2025-02-19T00:00:00"/>
    <s v="F"/>
    <x v="1"/>
    <x v="0"/>
    <x v="0"/>
    <x v="6"/>
    <x v="2"/>
    <n v="8"/>
    <x v="2"/>
  </r>
  <r>
    <s v="TX501195"/>
    <x v="8"/>
    <x v="2"/>
    <n v="32.1"/>
    <n v="96.300000000000011"/>
    <x v="47"/>
    <d v="2025-02-19T00:00:00"/>
    <s v="M"/>
    <x v="0"/>
    <x v="0"/>
    <x v="0"/>
    <x v="6"/>
    <x v="1"/>
    <n v="8"/>
    <x v="1"/>
  </r>
  <r>
    <s v="TX501196"/>
    <x v="12"/>
    <x v="2"/>
    <n v="106.1"/>
    <n v="318.29999999999995"/>
    <x v="47"/>
    <d v="2025-02-19T00:00:00"/>
    <s v="M"/>
    <x v="0"/>
    <x v="1"/>
    <x v="0"/>
    <x v="7"/>
    <x v="1"/>
    <n v="8"/>
    <x v="1"/>
  </r>
  <r>
    <s v="TX501197"/>
    <x v="10"/>
    <x v="2"/>
    <n v="23.5"/>
    <n v="70.5"/>
    <x v="47"/>
    <d v="2025-02-20T00:00:00"/>
    <s v="M"/>
    <x v="0"/>
    <x v="4"/>
    <x v="0"/>
    <x v="7"/>
    <x v="2"/>
    <n v="8"/>
    <x v="1"/>
  </r>
  <r>
    <s v="TX501198"/>
    <x v="1"/>
    <x v="1"/>
    <n v="35.6"/>
    <n v="71.2"/>
    <x v="47"/>
    <d v="2025-02-22T00:00:00"/>
    <s v="M"/>
    <x v="4"/>
    <x v="0"/>
    <x v="0"/>
    <x v="8"/>
    <x v="0"/>
    <n v="8"/>
    <x v="1"/>
  </r>
  <r>
    <s v="TX501199"/>
    <x v="1"/>
    <x v="1"/>
    <n v="63.5"/>
    <n v="127"/>
    <x v="47"/>
    <d v="2025-02-17T00:00:00"/>
    <s v="F"/>
    <x v="1"/>
    <x v="2"/>
    <x v="0"/>
    <x v="8"/>
    <x v="7"/>
    <n v="8"/>
    <x v="2"/>
  </r>
  <r>
    <s v="TX501200"/>
    <x v="6"/>
    <x v="3"/>
    <n v="82.9"/>
    <n v="580.30000000000007"/>
    <x v="47"/>
    <d v="2025-02-22T00:00:00"/>
    <s v="F"/>
    <x v="4"/>
    <x v="0"/>
    <x v="0"/>
    <x v="9"/>
    <x v="0"/>
    <n v="8"/>
    <x v="2"/>
  </r>
  <r>
    <s v="TX501201"/>
    <x v="6"/>
    <x v="1"/>
    <n v="83.6"/>
    <n v="167.2"/>
    <x v="47"/>
    <d v="2025-02-22T00:00:00"/>
    <s v="F"/>
    <x v="0"/>
    <x v="0"/>
    <x v="0"/>
    <x v="11"/>
    <x v="0"/>
    <n v="8"/>
    <x v="2"/>
  </r>
  <r>
    <s v="TX501202"/>
    <x v="4"/>
    <x v="1"/>
    <n v="29.4"/>
    <n v="58.8"/>
    <x v="47"/>
    <d v="2025-02-17T00:00:00"/>
    <s v="F"/>
    <x v="0"/>
    <x v="1"/>
    <x v="0"/>
    <x v="30"/>
    <x v="7"/>
    <n v="8"/>
    <x v="2"/>
  </r>
  <r>
    <s v="TX501203"/>
    <x v="2"/>
    <x v="2"/>
    <n v="107.1"/>
    <n v="321.29999999999995"/>
    <x v="47"/>
    <d v="2025-02-21T00:00:00"/>
    <s v="F"/>
    <x v="2"/>
    <x v="0"/>
    <x v="0"/>
    <x v="20"/>
    <x v="5"/>
    <n v="8"/>
    <x v="2"/>
  </r>
  <r>
    <s v="TX501204"/>
    <x v="2"/>
    <x v="0"/>
    <n v="62.7"/>
    <n v="62.7"/>
    <x v="47"/>
    <d v="2025-02-21T00:00:00"/>
    <s v="M"/>
    <x v="1"/>
    <x v="0"/>
    <x v="0"/>
    <x v="21"/>
    <x v="5"/>
    <n v="8"/>
    <x v="1"/>
  </r>
  <r>
    <s v="TX501205"/>
    <x v="11"/>
    <x v="0"/>
    <n v="41.6"/>
    <n v="41.6"/>
    <x v="47"/>
    <d v="2025-02-18T00:00:00"/>
    <s v="M"/>
    <x v="0"/>
    <x v="1"/>
    <x v="0"/>
    <x v="1"/>
    <x v="3"/>
    <n v="8"/>
    <x v="1"/>
  </r>
  <r>
    <s v="TX501206"/>
    <x v="6"/>
    <x v="0"/>
    <n v="44.2"/>
    <n v="44.2"/>
    <x v="47"/>
    <d v="2025-02-18T00:00:00"/>
    <s v="O"/>
    <x v="0"/>
    <x v="1"/>
    <x v="0"/>
    <x v="1"/>
    <x v="3"/>
    <n v="8"/>
    <x v="3"/>
  </r>
  <r>
    <s v="TX501207"/>
    <x v="4"/>
    <x v="13"/>
    <n v="40.4"/>
    <n v="242.39999999999998"/>
    <x v="47"/>
    <d v="2025-03-02T00:00:00"/>
    <s v="F"/>
    <x v="2"/>
    <x v="0"/>
    <x v="0"/>
    <x v="22"/>
    <x v="10"/>
    <n v="8"/>
    <x v="2"/>
  </r>
  <r>
    <s v="TX501208"/>
    <x v="15"/>
    <x v="13"/>
    <n v="59.6"/>
    <n v="357.6"/>
    <x v="47"/>
    <d v="2025-02-18T00:00:00"/>
    <s v="F"/>
    <x v="4"/>
    <x v="0"/>
    <x v="0"/>
    <x v="34"/>
    <x v="3"/>
    <n v="8"/>
    <x v="2"/>
  </r>
  <r>
    <s v="TX501209"/>
    <x v="17"/>
    <x v="4"/>
    <n v="63.8"/>
    <n v="765.59999999999991"/>
    <x v="47"/>
    <d v="2025-02-18T00:00:00"/>
    <s v="M"/>
    <x v="1"/>
    <x v="0"/>
    <x v="0"/>
    <x v="3"/>
    <x v="3"/>
    <n v="8"/>
    <x v="1"/>
  </r>
  <r>
    <s v="TX501210"/>
    <x v="9"/>
    <x v="13"/>
    <n v="30.8"/>
    <n v="184.8"/>
    <x v="47"/>
    <d v="2025-02-19T00:00:00"/>
    <s v="M"/>
    <x v="4"/>
    <x v="0"/>
    <x v="0"/>
    <x v="3"/>
    <x v="1"/>
    <n v="8"/>
    <x v="1"/>
  </r>
  <r>
    <s v="TX501211"/>
    <x v="1"/>
    <x v="1"/>
    <n v="41.5"/>
    <n v="83"/>
    <x v="47"/>
    <d v="2025-02-20T00:00:00"/>
    <s v="O"/>
    <x v="0"/>
    <x v="0"/>
    <x v="0"/>
    <x v="3"/>
    <x v="2"/>
    <n v="8"/>
    <x v="3"/>
  </r>
  <r>
    <s v="TX501212"/>
    <x v="10"/>
    <x v="12"/>
    <n v="44.7"/>
    <n v="178.8"/>
    <x v="47"/>
    <d v="2025-02-19T00:00:00"/>
    <s v="F"/>
    <x v="2"/>
    <x v="1"/>
    <x v="0"/>
    <x v="3"/>
    <x v="1"/>
    <n v="8"/>
    <x v="2"/>
  </r>
  <r>
    <s v="TX501213"/>
    <x v="12"/>
    <x v="1"/>
    <n v="64.099999999999994"/>
    <n v="128.19999999999999"/>
    <x v="47"/>
    <d v="2025-02-21T00:00:00"/>
    <s v="F"/>
    <x v="1"/>
    <x v="4"/>
    <x v="0"/>
    <x v="3"/>
    <x v="5"/>
    <n v="8"/>
    <x v="2"/>
  </r>
  <r>
    <s v="TX501214"/>
    <x v="8"/>
    <x v="0"/>
    <n v="15.9"/>
    <n v="15.9"/>
    <x v="47"/>
    <d v="2025-02-20T00:00:00"/>
    <s v=""/>
    <x v="1"/>
    <x v="0"/>
    <x v="0"/>
    <x v="3"/>
    <x v="2"/>
    <n v="8"/>
    <x v="0"/>
  </r>
  <r>
    <s v="TX501215"/>
    <x v="6"/>
    <x v="1"/>
    <n v="78.7"/>
    <n v="157.4"/>
    <x v="47"/>
    <d v="2025-02-17T00:00:00"/>
    <s v="F"/>
    <x v="2"/>
    <x v="1"/>
    <x v="0"/>
    <x v="3"/>
    <x v="7"/>
    <n v="8"/>
    <x v="2"/>
  </r>
  <r>
    <s v="TX501216"/>
    <x v="5"/>
    <x v="4"/>
    <n v="29.6"/>
    <n v="355.20000000000005"/>
    <x v="47"/>
    <d v="2025-02-21T00:00:00"/>
    <s v="M"/>
    <x v="2"/>
    <x v="4"/>
    <x v="0"/>
    <x v="3"/>
    <x v="5"/>
    <n v="8"/>
    <x v="1"/>
  </r>
  <r>
    <s v="TX501217"/>
    <x v="8"/>
    <x v="12"/>
    <n v="21.5"/>
    <n v="86"/>
    <x v="47"/>
    <d v="2025-02-20T00:00:00"/>
    <s v="M"/>
    <x v="1"/>
    <x v="0"/>
    <x v="0"/>
    <x v="3"/>
    <x v="2"/>
    <n v="8"/>
    <x v="1"/>
  </r>
  <r>
    <s v="TX501218"/>
    <x v="9"/>
    <x v="2"/>
    <n v="74.900000000000006"/>
    <n v="224.70000000000002"/>
    <x v="47"/>
    <d v="2025-02-26T00:00:00"/>
    <s v="M"/>
    <x v="3"/>
    <x v="1"/>
    <x v="0"/>
    <x v="3"/>
    <x v="8"/>
    <n v="8"/>
    <x v="1"/>
  </r>
  <r>
    <s v="TX501219"/>
    <x v="10"/>
    <x v="13"/>
    <n v="45"/>
    <n v="270"/>
    <x v="47"/>
    <d v="2025-02-22T00:00:00"/>
    <s v="F"/>
    <x v="2"/>
    <x v="0"/>
    <x v="0"/>
    <x v="3"/>
    <x v="0"/>
    <n v="8"/>
    <x v="2"/>
  </r>
  <r>
    <s v="TX501220"/>
    <x v="7"/>
    <x v="33"/>
    <n v="37.9"/>
    <n v="1288.5999999999999"/>
    <x v="47"/>
    <d v="2025-02-18T00:00:00"/>
    <s v="M"/>
    <x v="0"/>
    <x v="0"/>
    <x v="0"/>
    <x v="3"/>
    <x v="3"/>
    <n v="8"/>
    <x v="1"/>
  </r>
  <r>
    <s v="TX501221"/>
    <x v="6"/>
    <x v="2"/>
    <n v="56.6"/>
    <n v="169.8"/>
    <x v="47"/>
    <d v="2025-02-18T00:00:00"/>
    <s v="M"/>
    <x v="3"/>
    <x v="0"/>
    <x v="0"/>
    <x v="3"/>
    <x v="3"/>
    <n v="8"/>
    <x v="1"/>
  </r>
  <r>
    <s v="TX501222"/>
    <x v="3"/>
    <x v="15"/>
    <n v="84.5"/>
    <n v="1098.5"/>
    <x v="47"/>
    <d v="2025-02-20T00:00:00"/>
    <s v="F"/>
    <x v="1"/>
    <x v="4"/>
    <x v="0"/>
    <x v="3"/>
    <x v="2"/>
    <n v="8"/>
    <x v="2"/>
  </r>
  <r>
    <s v="TX501223"/>
    <x v="2"/>
    <x v="9"/>
    <n v="105.4"/>
    <n v="527"/>
    <x v="47"/>
    <d v="2025-02-19T00:00:00"/>
    <s v="F"/>
    <x v="1"/>
    <x v="1"/>
    <x v="0"/>
    <x v="3"/>
    <x v="1"/>
    <n v="8"/>
    <x v="2"/>
  </r>
  <r>
    <s v="TX501224"/>
    <x v="18"/>
    <x v="3"/>
    <n v="39.4"/>
    <n v="275.8"/>
    <x v="48"/>
    <d v="2025-02-18T00:00:00"/>
    <s v="M"/>
    <x v="1"/>
    <x v="0"/>
    <x v="0"/>
    <x v="37"/>
    <x v="7"/>
    <n v="8"/>
    <x v="1"/>
  </r>
  <r>
    <s v="TX501225"/>
    <x v="19"/>
    <x v="2"/>
    <n v="38"/>
    <n v="114"/>
    <x v="48"/>
    <d v="2025-02-21T00:00:00"/>
    <s v="M"/>
    <x v="4"/>
    <x v="1"/>
    <x v="0"/>
    <x v="6"/>
    <x v="2"/>
    <n v="8"/>
    <x v="1"/>
  </r>
  <r>
    <s v="TX501226"/>
    <x v="17"/>
    <x v="12"/>
    <n v="42.5"/>
    <n v="170"/>
    <x v="48"/>
    <d v="2025-02-20T00:00:00"/>
    <s v=""/>
    <x v="0"/>
    <x v="0"/>
    <x v="0"/>
    <x v="6"/>
    <x v="1"/>
    <n v="8"/>
    <x v="0"/>
  </r>
  <r>
    <s v="TX501227"/>
    <x v="15"/>
    <x v="0"/>
    <n v="62.3"/>
    <n v="62.3"/>
    <x v="48"/>
    <d v="2025-02-27T00:00:00"/>
    <s v="M"/>
    <x v="0"/>
    <x v="2"/>
    <x v="0"/>
    <x v="6"/>
    <x v="8"/>
    <n v="8"/>
    <x v="1"/>
  </r>
  <r>
    <s v="TX501228"/>
    <x v="6"/>
    <x v="9"/>
    <n v="49.1"/>
    <n v="245.5"/>
    <x v="48"/>
    <d v="2025-02-20T00:00:00"/>
    <s v="F"/>
    <x v="1"/>
    <x v="2"/>
    <x v="0"/>
    <x v="7"/>
    <x v="1"/>
    <n v="8"/>
    <x v="2"/>
  </r>
  <r>
    <s v="TX501229"/>
    <x v="3"/>
    <x v="1"/>
    <n v="30.5"/>
    <n v="61"/>
    <x v="48"/>
    <d v="2025-02-21T00:00:00"/>
    <s v="M"/>
    <x v="0"/>
    <x v="2"/>
    <x v="0"/>
    <x v="8"/>
    <x v="2"/>
    <n v="8"/>
    <x v="1"/>
  </r>
  <r>
    <s v="TX501230"/>
    <x v="2"/>
    <x v="1"/>
    <n v="154.80000000000001"/>
    <n v="309.60000000000002"/>
    <x v="48"/>
    <d v="2025-02-21T00:00:00"/>
    <s v="F"/>
    <x v="1"/>
    <x v="4"/>
    <x v="0"/>
    <x v="8"/>
    <x v="2"/>
    <n v="8"/>
    <x v="2"/>
  </r>
  <r>
    <s v="TX501231"/>
    <x v="6"/>
    <x v="0"/>
    <n v="45"/>
    <n v="45"/>
    <x v="48"/>
    <d v="2025-02-22T00:00:00"/>
    <s v="M"/>
    <x v="3"/>
    <x v="1"/>
    <x v="0"/>
    <x v="8"/>
    <x v="5"/>
    <n v="8"/>
    <x v="1"/>
  </r>
  <r>
    <s v="TX501232"/>
    <x v="0"/>
    <x v="3"/>
    <n v="15.3"/>
    <n v="107.10000000000001"/>
    <x v="48"/>
    <d v="2025-02-19T00:00:00"/>
    <s v="M"/>
    <x v="0"/>
    <x v="2"/>
    <x v="0"/>
    <x v="8"/>
    <x v="3"/>
    <n v="8"/>
    <x v="1"/>
  </r>
  <r>
    <s v="TX501233"/>
    <x v="2"/>
    <x v="5"/>
    <n v="88.6"/>
    <n v="974.59999999999991"/>
    <x v="48"/>
    <d v="2025-02-21T00:00:00"/>
    <s v="F"/>
    <x v="0"/>
    <x v="4"/>
    <x v="0"/>
    <x v="17"/>
    <x v="2"/>
    <n v="8"/>
    <x v="2"/>
  </r>
  <r>
    <s v="TX501234"/>
    <x v="9"/>
    <x v="1"/>
    <n v="49.7"/>
    <n v="99.4"/>
    <x v="48"/>
    <d v="2025-02-20T00:00:00"/>
    <s v="O"/>
    <x v="4"/>
    <x v="0"/>
    <x v="0"/>
    <x v="10"/>
    <x v="1"/>
    <n v="8"/>
    <x v="3"/>
  </r>
  <r>
    <s v="TX501235"/>
    <x v="10"/>
    <x v="0"/>
    <n v="29"/>
    <n v="29"/>
    <x v="48"/>
    <d v="2025-02-19T00:00:00"/>
    <s v="M"/>
    <x v="0"/>
    <x v="0"/>
    <x v="0"/>
    <x v="11"/>
    <x v="3"/>
    <n v="8"/>
    <x v="1"/>
  </r>
  <r>
    <s v="TX501236"/>
    <x v="1"/>
    <x v="0"/>
    <n v="60.7"/>
    <n v="60.7"/>
    <x v="48"/>
    <d v="2025-02-19T00:00:00"/>
    <s v="O"/>
    <x v="0"/>
    <x v="1"/>
    <x v="0"/>
    <x v="11"/>
    <x v="3"/>
    <n v="8"/>
    <x v="3"/>
  </r>
  <r>
    <s v="TX501237"/>
    <x v="17"/>
    <x v="12"/>
    <n v="87.4"/>
    <n v="349.6"/>
    <x v="48"/>
    <d v="2025-02-20T00:00:00"/>
    <s v=""/>
    <x v="0"/>
    <x v="0"/>
    <x v="0"/>
    <x v="11"/>
    <x v="1"/>
    <n v="8"/>
    <x v="0"/>
  </r>
  <r>
    <s v="TX501238"/>
    <x v="4"/>
    <x v="3"/>
    <n v="44.5"/>
    <n v="311.5"/>
    <x v="48"/>
    <d v="2025-02-22T00:00:00"/>
    <s v="F"/>
    <x v="2"/>
    <x v="2"/>
    <x v="0"/>
    <x v="19"/>
    <x v="5"/>
    <n v="8"/>
    <x v="2"/>
  </r>
  <r>
    <s v="TX501239"/>
    <x v="2"/>
    <x v="0"/>
    <n v="141"/>
    <n v="141"/>
    <x v="48"/>
    <d v="2025-02-19T00:00:00"/>
    <s v="M"/>
    <x v="4"/>
    <x v="2"/>
    <x v="0"/>
    <x v="19"/>
    <x v="3"/>
    <n v="8"/>
    <x v="1"/>
  </r>
  <r>
    <s v="TX501240"/>
    <x v="0"/>
    <x v="2"/>
    <n v="16.7"/>
    <n v="50.099999999999994"/>
    <x v="48"/>
    <d v="2025-02-26T00:00:00"/>
    <s v="F"/>
    <x v="0"/>
    <x v="0"/>
    <x v="0"/>
    <x v="20"/>
    <x v="9"/>
    <n v="8"/>
    <x v="2"/>
  </r>
  <r>
    <s v="TX501241"/>
    <x v="1"/>
    <x v="1"/>
    <n v="77.5"/>
    <n v="155"/>
    <x v="48"/>
    <d v="2025-02-19T00:00:00"/>
    <s v=""/>
    <x v="2"/>
    <x v="2"/>
    <x v="0"/>
    <x v="13"/>
    <x v="3"/>
    <n v="8"/>
    <x v="0"/>
  </r>
  <r>
    <s v="TX501242"/>
    <x v="2"/>
    <x v="1"/>
    <n v="163"/>
    <n v="326"/>
    <x v="48"/>
    <d v="2025-02-24T00:00:00"/>
    <s v="F"/>
    <x v="4"/>
    <x v="0"/>
    <x v="0"/>
    <x v="21"/>
    <x v="4"/>
    <n v="8"/>
    <x v="2"/>
  </r>
  <r>
    <s v="TX501243"/>
    <x v="4"/>
    <x v="11"/>
    <n v="21.4"/>
    <n v="192.6"/>
    <x v="48"/>
    <d v="2025-02-21T00:00:00"/>
    <s v="F"/>
    <x v="0"/>
    <x v="0"/>
    <x v="0"/>
    <x v="51"/>
    <x v="2"/>
    <n v="8"/>
    <x v="2"/>
  </r>
  <r>
    <s v="TX501244"/>
    <x v="10"/>
    <x v="5"/>
    <n v="31"/>
    <n v="341"/>
    <x v="48"/>
    <d v="2025-02-20T00:00:00"/>
    <s v="F"/>
    <x v="3"/>
    <x v="2"/>
    <x v="0"/>
    <x v="1"/>
    <x v="1"/>
    <n v="8"/>
    <x v="2"/>
  </r>
  <r>
    <s v="TX501245"/>
    <x v="7"/>
    <x v="1"/>
    <n v="34.299999999999997"/>
    <n v="68.599999999999994"/>
    <x v="48"/>
    <d v="2025-02-20T00:00:00"/>
    <s v="F"/>
    <x v="0"/>
    <x v="3"/>
    <x v="0"/>
    <x v="1"/>
    <x v="1"/>
    <n v="8"/>
    <x v="2"/>
  </r>
  <r>
    <s v="TX501246"/>
    <x v="17"/>
    <x v="9"/>
    <n v="48.2"/>
    <n v="241"/>
    <x v="48"/>
    <d v="2025-02-19T00:00:00"/>
    <s v="M"/>
    <x v="1"/>
    <x v="1"/>
    <x v="0"/>
    <x v="2"/>
    <x v="3"/>
    <n v="8"/>
    <x v="1"/>
  </r>
  <r>
    <s v="TX501247"/>
    <x v="10"/>
    <x v="0"/>
    <n v="51.4"/>
    <n v="51.4"/>
    <x v="48"/>
    <d v="2025-02-19T00:00:00"/>
    <s v="M"/>
    <x v="0"/>
    <x v="0"/>
    <x v="0"/>
    <x v="3"/>
    <x v="3"/>
    <n v="8"/>
    <x v="1"/>
  </r>
  <r>
    <s v="TX501248"/>
    <x v="2"/>
    <x v="9"/>
    <n v="117.2"/>
    <n v="586"/>
    <x v="48"/>
    <d v="2025-02-21T00:00:00"/>
    <s v="F"/>
    <x v="4"/>
    <x v="4"/>
    <x v="0"/>
    <x v="3"/>
    <x v="2"/>
    <n v="8"/>
    <x v="2"/>
  </r>
  <r>
    <s v="TX501249"/>
    <x v="8"/>
    <x v="0"/>
    <n v="38.1"/>
    <n v="38.1"/>
    <x v="48"/>
    <d v="2025-02-18T00:00:00"/>
    <s v="M"/>
    <x v="4"/>
    <x v="1"/>
    <x v="0"/>
    <x v="3"/>
    <x v="7"/>
    <n v="8"/>
    <x v="1"/>
  </r>
  <r>
    <s v="TX501250"/>
    <x v="0"/>
    <x v="1"/>
    <n v="44.1"/>
    <n v="88.2"/>
    <x v="48"/>
    <d v="2025-02-20T00:00:00"/>
    <s v="F"/>
    <x v="2"/>
    <x v="0"/>
    <x v="0"/>
    <x v="3"/>
    <x v="1"/>
    <n v="8"/>
    <x v="2"/>
  </r>
  <r>
    <s v="TX501251"/>
    <x v="15"/>
    <x v="12"/>
    <n v="80.5"/>
    <n v="322"/>
    <x v="48"/>
    <d v="2025-02-23T00:00:00"/>
    <s v="M"/>
    <x v="0"/>
    <x v="0"/>
    <x v="0"/>
    <x v="3"/>
    <x v="0"/>
    <n v="8"/>
    <x v="1"/>
  </r>
  <r>
    <s v="TX501252"/>
    <x v="18"/>
    <x v="12"/>
    <n v="33.6"/>
    <n v="134.4"/>
    <x v="48"/>
    <d v="2025-02-23T00:00:00"/>
    <s v=""/>
    <x v="0"/>
    <x v="2"/>
    <x v="0"/>
    <x v="3"/>
    <x v="0"/>
    <n v="8"/>
    <x v="0"/>
  </r>
  <r>
    <s v="TX501253"/>
    <x v="9"/>
    <x v="11"/>
    <n v="41.8"/>
    <n v="376.2"/>
    <x v="48"/>
    <d v="2025-02-19T00:00:00"/>
    <s v="F"/>
    <x v="0"/>
    <x v="1"/>
    <x v="0"/>
    <x v="3"/>
    <x v="3"/>
    <n v="8"/>
    <x v="2"/>
  </r>
  <r>
    <s v="TX501254"/>
    <x v="1"/>
    <x v="1"/>
    <n v="106.2"/>
    <n v="212.4"/>
    <x v="48"/>
    <d v="2025-02-18T00:00:00"/>
    <s v="F"/>
    <x v="4"/>
    <x v="2"/>
    <x v="0"/>
    <x v="3"/>
    <x v="7"/>
    <n v="8"/>
    <x v="2"/>
  </r>
  <r>
    <s v="TX501255"/>
    <x v="1"/>
    <x v="1"/>
    <n v="52.6"/>
    <n v="105.2"/>
    <x v="48"/>
    <d v="2025-02-19T00:00:00"/>
    <s v="F"/>
    <x v="0"/>
    <x v="2"/>
    <x v="0"/>
    <x v="5"/>
    <x v="3"/>
    <n v="8"/>
    <x v="2"/>
  </r>
  <r>
    <s v="TX501256"/>
    <x v="11"/>
    <x v="3"/>
    <n v="68.5"/>
    <n v="479.5"/>
    <x v="48"/>
    <d v="2025-02-19T00:00:00"/>
    <s v="F"/>
    <x v="1"/>
    <x v="0"/>
    <x v="0"/>
    <x v="5"/>
    <x v="3"/>
    <n v="8"/>
    <x v="2"/>
  </r>
  <r>
    <s v="TX501257"/>
    <x v="1"/>
    <x v="1"/>
    <n v="55.6"/>
    <n v="111.2"/>
    <x v="48"/>
    <d v="2025-02-20T00:00:00"/>
    <s v="M"/>
    <x v="1"/>
    <x v="2"/>
    <x v="0"/>
    <x v="6"/>
    <x v="1"/>
    <n v="8"/>
    <x v="1"/>
  </r>
  <r>
    <s v="TX501258"/>
    <x v="2"/>
    <x v="2"/>
    <n v="134.9"/>
    <n v="404.70000000000005"/>
    <x v="48"/>
    <d v="2025-02-19T00:00:00"/>
    <s v="M"/>
    <x v="1"/>
    <x v="1"/>
    <x v="0"/>
    <x v="6"/>
    <x v="3"/>
    <n v="8"/>
    <x v="1"/>
  </r>
  <r>
    <s v="TX501259"/>
    <x v="10"/>
    <x v="9"/>
    <n v="42.6"/>
    <n v="213"/>
    <x v="48"/>
    <d v="2025-02-19T00:00:00"/>
    <s v="M"/>
    <x v="0"/>
    <x v="0"/>
    <x v="0"/>
    <x v="6"/>
    <x v="3"/>
    <n v="8"/>
    <x v="1"/>
  </r>
  <r>
    <s v="TX501260"/>
    <x v="7"/>
    <x v="9"/>
    <n v="60.6"/>
    <n v="303"/>
    <x v="48"/>
    <d v="2025-02-20T00:00:00"/>
    <s v="M"/>
    <x v="4"/>
    <x v="0"/>
    <x v="0"/>
    <x v="6"/>
    <x v="1"/>
    <n v="8"/>
    <x v="1"/>
  </r>
  <r>
    <s v="TX501261"/>
    <x v="8"/>
    <x v="1"/>
    <n v="43.5"/>
    <n v="87"/>
    <x v="48"/>
    <d v="2025-02-19T00:00:00"/>
    <s v="M"/>
    <x v="4"/>
    <x v="0"/>
    <x v="0"/>
    <x v="7"/>
    <x v="3"/>
    <n v="8"/>
    <x v="1"/>
  </r>
  <r>
    <s v="TX501262"/>
    <x v="2"/>
    <x v="1"/>
    <n v="187.1"/>
    <n v="374.2"/>
    <x v="48"/>
    <d v="2025-02-19T00:00:00"/>
    <s v="M"/>
    <x v="1"/>
    <x v="2"/>
    <x v="0"/>
    <x v="8"/>
    <x v="3"/>
    <n v="8"/>
    <x v="1"/>
  </r>
  <r>
    <s v="TX501263"/>
    <x v="9"/>
    <x v="2"/>
    <n v="32"/>
    <n v="96"/>
    <x v="48"/>
    <d v="2025-02-20T00:00:00"/>
    <s v="M"/>
    <x v="0"/>
    <x v="0"/>
    <x v="0"/>
    <x v="8"/>
    <x v="1"/>
    <n v="8"/>
    <x v="1"/>
  </r>
  <r>
    <s v="TX501264"/>
    <x v="9"/>
    <x v="1"/>
    <n v="110.8"/>
    <n v="221.6"/>
    <x v="48"/>
    <d v="2025-02-18T00:00:00"/>
    <s v="M"/>
    <x v="0"/>
    <x v="2"/>
    <x v="0"/>
    <x v="8"/>
    <x v="7"/>
    <n v="8"/>
    <x v="1"/>
  </r>
  <r>
    <s v="TX501265"/>
    <x v="10"/>
    <x v="15"/>
    <n v="36.1"/>
    <n v="469.3"/>
    <x v="48"/>
    <d v="2025-02-21T00:00:00"/>
    <s v="F"/>
    <x v="0"/>
    <x v="1"/>
    <x v="0"/>
    <x v="8"/>
    <x v="2"/>
    <n v="8"/>
    <x v="2"/>
  </r>
  <r>
    <s v="TX501266"/>
    <x v="0"/>
    <x v="0"/>
    <n v="24.1"/>
    <n v="24.1"/>
    <x v="48"/>
    <d v="2025-02-20T00:00:00"/>
    <s v="F"/>
    <x v="4"/>
    <x v="2"/>
    <x v="0"/>
    <x v="8"/>
    <x v="1"/>
    <n v="8"/>
    <x v="2"/>
  </r>
  <r>
    <s v="TX501267"/>
    <x v="19"/>
    <x v="2"/>
    <n v="30.5"/>
    <n v="91.5"/>
    <x v="48"/>
    <d v="2025-02-20T00:00:00"/>
    <s v="M"/>
    <x v="1"/>
    <x v="0"/>
    <x v="0"/>
    <x v="8"/>
    <x v="1"/>
    <n v="8"/>
    <x v="1"/>
  </r>
  <r>
    <s v="TX501268"/>
    <x v="18"/>
    <x v="13"/>
    <n v="68.3"/>
    <n v="409.79999999999995"/>
    <x v="48"/>
    <d v="2025-02-21T00:00:00"/>
    <s v="M"/>
    <x v="0"/>
    <x v="0"/>
    <x v="0"/>
    <x v="8"/>
    <x v="2"/>
    <n v="8"/>
    <x v="1"/>
  </r>
  <r>
    <s v="TX501269"/>
    <x v="7"/>
    <x v="2"/>
    <n v="43.3"/>
    <n v="129.89999999999998"/>
    <x v="48"/>
    <d v="2025-02-22T00:00:00"/>
    <s v="F"/>
    <x v="0"/>
    <x v="0"/>
    <x v="0"/>
    <x v="17"/>
    <x v="5"/>
    <n v="8"/>
    <x v="2"/>
  </r>
  <r>
    <s v="TX501270"/>
    <x v="3"/>
    <x v="0"/>
    <n v="101.7"/>
    <n v="101.7"/>
    <x v="48"/>
    <d v="2025-02-21T00:00:00"/>
    <s v="F"/>
    <x v="0"/>
    <x v="1"/>
    <x v="0"/>
    <x v="17"/>
    <x v="2"/>
    <n v="8"/>
    <x v="2"/>
  </r>
  <r>
    <s v="TX501271"/>
    <x v="11"/>
    <x v="1"/>
    <n v="54.2"/>
    <n v="108.4"/>
    <x v="48"/>
    <d v="2025-02-19T00:00:00"/>
    <s v="F"/>
    <x v="0"/>
    <x v="1"/>
    <x v="0"/>
    <x v="17"/>
    <x v="3"/>
    <n v="8"/>
    <x v="2"/>
  </r>
  <r>
    <s v="TX501272"/>
    <x v="16"/>
    <x v="1"/>
    <n v="51"/>
    <n v="102"/>
    <x v="48"/>
    <d v="2025-02-18T00:00:00"/>
    <s v="M"/>
    <x v="1"/>
    <x v="0"/>
    <x v="0"/>
    <x v="26"/>
    <x v="7"/>
    <n v="8"/>
    <x v="1"/>
  </r>
  <r>
    <s v="TX501273"/>
    <x v="4"/>
    <x v="1"/>
    <n v="23.1"/>
    <n v="46.2"/>
    <x v="48"/>
    <d v="2025-02-21T00:00:00"/>
    <s v="M"/>
    <x v="1"/>
    <x v="0"/>
    <x v="0"/>
    <x v="10"/>
    <x v="2"/>
    <n v="8"/>
    <x v="1"/>
  </r>
  <r>
    <s v="TX501274"/>
    <x v="12"/>
    <x v="13"/>
    <n v="60.1"/>
    <n v="360.6"/>
    <x v="48"/>
    <d v="2025-02-18T00:00:00"/>
    <s v="F"/>
    <x v="3"/>
    <x v="0"/>
    <x v="0"/>
    <x v="11"/>
    <x v="7"/>
    <n v="8"/>
    <x v="2"/>
  </r>
  <r>
    <s v="TX501275"/>
    <x v="2"/>
    <x v="3"/>
    <n v="87.5"/>
    <n v="612.5"/>
    <x v="48"/>
    <d v="2025-02-20T00:00:00"/>
    <s v="F"/>
    <x v="0"/>
    <x v="1"/>
    <x v="0"/>
    <x v="11"/>
    <x v="1"/>
    <n v="8"/>
    <x v="2"/>
  </r>
  <r>
    <s v="TX501276"/>
    <x v="1"/>
    <x v="2"/>
    <n v="51"/>
    <n v="153"/>
    <x v="48"/>
    <d v="2025-02-19T00:00:00"/>
    <s v="F"/>
    <x v="1"/>
    <x v="0"/>
    <x v="0"/>
    <x v="11"/>
    <x v="3"/>
    <n v="8"/>
    <x v="2"/>
  </r>
  <r>
    <s v="TX501277"/>
    <x v="8"/>
    <x v="12"/>
    <n v="19.2"/>
    <n v="76.8"/>
    <x v="48"/>
    <d v="2025-02-20T00:00:00"/>
    <s v="F"/>
    <x v="0"/>
    <x v="0"/>
    <x v="0"/>
    <x v="11"/>
    <x v="1"/>
    <n v="8"/>
    <x v="2"/>
  </r>
  <r>
    <s v="TX501278"/>
    <x v="5"/>
    <x v="8"/>
    <n v="26.5"/>
    <n v="212"/>
    <x v="48"/>
    <d v="2025-02-19T00:00:00"/>
    <s v=""/>
    <x v="3"/>
    <x v="2"/>
    <x v="0"/>
    <x v="11"/>
    <x v="3"/>
    <n v="8"/>
    <x v="0"/>
  </r>
  <r>
    <s v="TX501279"/>
    <x v="2"/>
    <x v="1"/>
    <n v="220.3"/>
    <n v="440.6"/>
    <x v="48"/>
    <d v="2025-02-19T00:00:00"/>
    <s v="F"/>
    <x v="1"/>
    <x v="4"/>
    <x v="0"/>
    <x v="53"/>
    <x v="3"/>
    <n v="8"/>
    <x v="2"/>
  </r>
  <r>
    <s v="TX501280"/>
    <x v="8"/>
    <x v="2"/>
    <n v="45.7"/>
    <n v="137.10000000000002"/>
    <x v="48"/>
    <d v="2025-02-19T00:00:00"/>
    <s v="F"/>
    <x v="4"/>
    <x v="0"/>
    <x v="0"/>
    <x v="30"/>
    <x v="3"/>
    <n v="8"/>
    <x v="2"/>
  </r>
  <r>
    <s v="TX501281"/>
    <x v="5"/>
    <x v="9"/>
    <n v="47.1"/>
    <n v="235.5"/>
    <x v="48"/>
    <d v="2025-02-22T00:00:00"/>
    <s v="F"/>
    <x v="3"/>
    <x v="0"/>
    <x v="0"/>
    <x v="13"/>
    <x v="5"/>
    <n v="8"/>
    <x v="2"/>
  </r>
  <r>
    <s v="TX501282"/>
    <x v="1"/>
    <x v="9"/>
    <n v="81.7"/>
    <n v="408.5"/>
    <x v="48"/>
    <d v="2025-02-19T00:00:00"/>
    <s v="F"/>
    <x v="0"/>
    <x v="2"/>
    <x v="0"/>
    <x v="21"/>
    <x v="3"/>
    <n v="8"/>
    <x v="2"/>
  </r>
  <r>
    <s v="TX501283"/>
    <x v="6"/>
    <x v="7"/>
    <n v="97.8"/>
    <n v="978"/>
    <x v="48"/>
    <d v="2025-02-18T00:00:00"/>
    <s v="M"/>
    <x v="1"/>
    <x v="1"/>
    <x v="0"/>
    <x v="21"/>
    <x v="7"/>
    <n v="8"/>
    <x v="1"/>
  </r>
  <r>
    <s v="TX501284"/>
    <x v="6"/>
    <x v="2"/>
    <n v="42.4"/>
    <n v="127.19999999999999"/>
    <x v="48"/>
    <d v="2025-02-19T00:00:00"/>
    <s v="F"/>
    <x v="0"/>
    <x v="2"/>
    <x v="0"/>
    <x v="54"/>
    <x v="3"/>
    <n v="8"/>
    <x v="2"/>
  </r>
  <r>
    <s v="TX501285"/>
    <x v="2"/>
    <x v="7"/>
    <n v="74.5"/>
    <n v="745"/>
    <x v="48"/>
    <d v="2025-02-19T00:00:00"/>
    <s v="M"/>
    <x v="2"/>
    <x v="1"/>
    <x v="0"/>
    <x v="1"/>
    <x v="3"/>
    <n v="8"/>
    <x v="1"/>
  </r>
  <r>
    <s v="TX501286"/>
    <x v="17"/>
    <x v="13"/>
    <n v="47.4"/>
    <n v="284.39999999999998"/>
    <x v="48"/>
    <d v="2025-02-19T00:00:00"/>
    <s v="M"/>
    <x v="1"/>
    <x v="0"/>
    <x v="0"/>
    <x v="1"/>
    <x v="3"/>
    <n v="8"/>
    <x v="1"/>
  </r>
  <r>
    <s v="TX501287"/>
    <x v="14"/>
    <x v="2"/>
    <n v="17.3"/>
    <n v="51.900000000000006"/>
    <x v="49"/>
    <d v="2025-02-22T00:00:00"/>
    <s v="M"/>
    <x v="2"/>
    <x v="2"/>
    <x v="0"/>
    <x v="1"/>
    <x v="2"/>
    <n v="8"/>
    <x v="1"/>
  </r>
  <r>
    <s v="TX501288"/>
    <x v="12"/>
    <x v="12"/>
    <n v="77.900000000000006"/>
    <n v="311.60000000000002"/>
    <x v="49"/>
    <d v="2025-02-20T00:00:00"/>
    <s v="M"/>
    <x v="1"/>
    <x v="0"/>
    <x v="0"/>
    <x v="2"/>
    <x v="3"/>
    <n v="8"/>
    <x v="1"/>
  </r>
  <r>
    <s v="TX501289"/>
    <x v="8"/>
    <x v="0"/>
    <n v="29.1"/>
    <n v="29.1"/>
    <x v="49"/>
    <d v="2025-02-22T00:00:00"/>
    <s v="M"/>
    <x v="0"/>
    <x v="2"/>
    <x v="0"/>
    <x v="50"/>
    <x v="2"/>
    <n v="8"/>
    <x v="1"/>
  </r>
  <r>
    <s v="TX501290"/>
    <x v="8"/>
    <x v="0"/>
    <n v="49"/>
    <n v="49"/>
    <x v="49"/>
    <d v="2025-02-20T00:00:00"/>
    <s v="M"/>
    <x v="1"/>
    <x v="0"/>
    <x v="0"/>
    <x v="3"/>
    <x v="3"/>
    <n v="8"/>
    <x v="1"/>
  </r>
  <r>
    <s v="TX501291"/>
    <x v="8"/>
    <x v="13"/>
    <n v="21.1"/>
    <n v="126.60000000000001"/>
    <x v="49"/>
    <d v="2025-02-26T00:00:00"/>
    <s v="M"/>
    <x v="0"/>
    <x v="2"/>
    <x v="0"/>
    <x v="3"/>
    <x v="6"/>
    <n v="8"/>
    <x v="1"/>
  </r>
  <r>
    <s v="TX501292"/>
    <x v="4"/>
    <x v="10"/>
    <n v="36.9"/>
    <n v="701.1"/>
    <x v="49"/>
    <d v="2025-02-19T00:00:00"/>
    <s v="F"/>
    <x v="0"/>
    <x v="0"/>
    <x v="0"/>
    <x v="3"/>
    <x v="7"/>
    <n v="8"/>
    <x v="2"/>
  </r>
  <r>
    <s v="TX501293"/>
    <x v="1"/>
    <x v="7"/>
    <n v="92.6"/>
    <n v="926"/>
    <x v="49"/>
    <d v="2025-02-24T00:00:00"/>
    <s v="M"/>
    <x v="4"/>
    <x v="2"/>
    <x v="0"/>
    <x v="3"/>
    <x v="0"/>
    <n v="8"/>
    <x v="1"/>
  </r>
  <r>
    <s v="TX501294"/>
    <x v="10"/>
    <x v="1"/>
    <n v="38"/>
    <n v="76"/>
    <x v="49"/>
    <d v="2025-02-20T00:00:00"/>
    <s v="M"/>
    <x v="1"/>
    <x v="1"/>
    <x v="0"/>
    <x v="3"/>
    <x v="3"/>
    <n v="8"/>
    <x v="1"/>
  </r>
  <r>
    <s v="TX501295"/>
    <x v="5"/>
    <x v="2"/>
    <n v="54.8"/>
    <n v="164.39999999999998"/>
    <x v="49"/>
    <d v="2025-02-23T00:00:00"/>
    <s v=""/>
    <x v="0"/>
    <x v="1"/>
    <x v="0"/>
    <x v="3"/>
    <x v="5"/>
    <n v="8"/>
    <x v="0"/>
  </r>
  <r>
    <s v="TX501296"/>
    <x v="10"/>
    <x v="4"/>
    <n v="56.8"/>
    <n v="681.59999999999991"/>
    <x v="49"/>
    <d v="2025-02-21T00:00:00"/>
    <s v="M"/>
    <x v="1"/>
    <x v="0"/>
    <x v="0"/>
    <x v="3"/>
    <x v="1"/>
    <n v="8"/>
    <x v="1"/>
  </r>
  <r>
    <s v="TX501297"/>
    <x v="11"/>
    <x v="40"/>
    <n v="47.2"/>
    <n v="1557.6000000000001"/>
    <x v="49"/>
    <d v="2025-02-22T00:00:00"/>
    <s v="F"/>
    <x v="1"/>
    <x v="0"/>
    <x v="0"/>
    <x v="3"/>
    <x v="2"/>
    <n v="8"/>
    <x v="2"/>
  </r>
  <r>
    <s v="TX501298"/>
    <x v="7"/>
    <x v="13"/>
    <n v="45.1"/>
    <n v="270.60000000000002"/>
    <x v="49"/>
    <d v="2025-02-20T00:00:00"/>
    <s v="F"/>
    <x v="2"/>
    <x v="0"/>
    <x v="0"/>
    <x v="43"/>
    <x v="3"/>
    <n v="8"/>
    <x v="2"/>
  </r>
  <r>
    <s v="TX501299"/>
    <x v="4"/>
    <x v="4"/>
    <n v="25.2"/>
    <n v="302.39999999999998"/>
    <x v="49"/>
    <d v="2025-02-24T00:00:00"/>
    <s v="F"/>
    <x v="2"/>
    <x v="0"/>
    <x v="0"/>
    <x v="16"/>
    <x v="0"/>
    <n v="8"/>
    <x v="2"/>
  </r>
  <r>
    <s v="TX501300"/>
    <x v="8"/>
    <x v="0"/>
    <n v="22"/>
    <n v="22"/>
    <x v="49"/>
    <d v="2025-02-20T00:00:00"/>
    <s v="F"/>
    <x v="0"/>
    <x v="0"/>
    <x v="0"/>
    <x v="5"/>
    <x v="3"/>
    <n v="8"/>
    <x v="2"/>
  </r>
  <r>
    <s v="TX501301"/>
    <x v="6"/>
    <x v="1"/>
    <n v="42.2"/>
    <n v="84.4"/>
    <x v="49"/>
    <d v="2025-02-20T00:00:00"/>
    <s v="F"/>
    <x v="1"/>
    <x v="1"/>
    <x v="0"/>
    <x v="23"/>
    <x v="3"/>
    <n v="8"/>
    <x v="2"/>
  </r>
  <r>
    <s v="TX501302"/>
    <x v="13"/>
    <x v="2"/>
    <n v="20.5"/>
    <n v="61.5"/>
    <x v="49"/>
    <d v="2025-02-20T00:00:00"/>
    <s v="M"/>
    <x v="0"/>
    <x v="1"/>
    <x v="0"/>
    <x v="6"/>
    <x v="3"/>
    <n v="8"/>
    <x v="1"/>
  </r>
  <r>
    <s v="TX501303"/>
    <x v="2"/>
    <x v="0"/>
    <n v="190.4"/>
    <n v="190.4"/>
    <x v="49"/>
    <d v="2025-02-24T00:00:00"/>
    <s v="M"/>
    <x v="1"/>
    <x v="4"/>
    <x v="0"/>
    <x v="6"/>
    <x v="0"/>
    <n v="8"/>
    <x v="1"/>
  </r>
  <r>
    <s v="TX501304"/>
    <x v="2"/>
    <x v="0"/>
    <n v="121.9"/>
    <n v="121.9"/>
    <x v="49"/>
    <d v="2025-02-21T00:00:00"/>
    <s v="F"/>
    <x v="1"/>
    <x v="2"/>
    <x v="0"/>
    <x v="6"/>
    <x v="1"/>
    <n v="8"/>
    <x v="2"/>
  </r>
  <r>
    <s v="TX501305"/>
    <x v="2"/>
    <x v="13"/>
    <n v="149.19999999999999"/>
    <n v="895.19999999999993"/>
    <x v="49"/>
    <d v="2025-02-20T00:00:00"/>
    <s v="F"/>
    <x v="2"/>
    <x v="2"/>
    <x v="0"/>
    <x v="7"/>
    <x v="3"/>
    <n v="8"/>
    <x v="2"/>
  </r>
  <r>
    <s v="TX501306"/>
    <x v="2"/>
    <x v="0"/>
    <n v="54.1"/>
    <n v="54.1"/>
    <x v="49"/>
    <d v="2025-02-28T00:00:00"/>
    <s v="F"/>
    <x v="2"/>
    <x v="2"/>
    <x v="0"/>
    <x v="7"/>
    <x v="8"/>
    <n v="8"/>
    <x v="2"/>
  </r>
  <r>
    <s v="TX501307"/>
    <x v="5"/>
    <x v="1"/>
    <n v="27.4"/>
    <n v="54.8"/>
    <x v="49"/>
    <d v="2025-02-21T00:00:00"/>
    <s v="M"/>
    <x v="1"/>
    <x v="0"/>
    <x v="0"/>
    <x v="8"/>
    <x v="1"/>
    <n v="8"/>
    <x v="1"/>
  </r>
  <r>
    <s v="TX501308"/>
    <x v="0"/>
    <x v="15"/>
    <n v="30.4"/>
    <n v="395.2"/>
    <x v="49"/>
    <d v="2025-02-20T00:00:00"/>
    <s v="F"/>
    <x v="0"/>
    <x v="2"/>
    <x v="0"/>
    <x v="8"/>
    <x v="3"/>
    <n v="8"/>
    <x v="2"/>
  </r>
  <r>
    <s v="TX501309"/>
    <x v="12"/>
    <x v="2"/>
    <n v="46.2"/>
    <n v="138.60000000000002"/>
    <x v="49"/>
    <d v="2025-02-21T00:00:00"/>
    <s v="M"/>
    <x v="2"/>
    <x v="1"/>
    <x v="0"/>
    <x v="17"/>
    <x v="1"/>
    <n v="8"/>
    <x v="1"/>
  </r>
  <r>
    <s v="TX501310"/>
    <x v="7"/>
    <x v="8"/>
    <n v="78.599999999999994"/>
    <n v="628.79999999999995"/>
    <x v="49"/>
    <d v="2025-02-23T00:00:00"/>
    <s v="M"/>
    <x v="3"/>
    <x v="0"/>
    <x v="0"/>
    <x v="17"/>
    <x v="5"/>
    <n v="8"/>
    <x v="1"/>
  </r>
  <r>
    <s v="TX501311"/>
    <x v="17"/>
    <x v="7"/>
    <n v="25.9"/>
    <n v="259"/>
    <x v="49"/>
    <d v="2025-02-25T00:00:00"/>
    <s v="M"/>
    <x v="4"/>
    <x v="0"/>
    <x v="0"/>
    <x v="9"/>
    <x v="4"/>
    <n v="8"/>
    <x v="1"/>
  </r>
  <r>
    <s v="TX501312"/>
    <x v="6"/>
    <x v="0"/>
    <n v="134.80000000000001"/>
    <n v="134.80000000000001"/>
    <x v="49"/>
    <d v="2025-02-21T00:00:00"/>
    <s v="M"/>
    <x v="2"/>
    <x v="2"/>
    <x v="0"/>
    <x v="9"/>
    <x v="1"/>
    <n v="8"/>
    <x v="1"/>
  </r>
  <r>
    <s v="TX501313"/>
    <x v="15"/>
    <x v="9"/>
    <n v="43.1"/>
    <n v="215.5"/>
    <x v="49"/>
    <d v="2025-02-21T00:00:00"/>
    <s v="F"/>
    <x v="0"/>
    <x v="0"/>
    <x v="0"/>
    <x v="11"/>
    <x v="1"/>
    <n v="8"/>
    <x v="2"/>
  </r>
  <r>
    <s v="TX501314"/>
    <x v="2"/>
    <x v="1"/>
    <n v="215.6"/>
    <n v="431.2"/>
    <x v="49"/>
    <d v="2025-02-20T00:00:00"/>
    <s v="F"/>
    <x v="2"/>
    <x v="0"/>
    <x v="0"/>
    <x v="18"/>
    <x v="3"/>
    <n v="8"/>
    <x v="2"/>
  </r>
  <r>
    <s v="TX501315"/>
    <x v="6"/>
    <x v="1"/>
    <n v="80.7"/>
    <n v="161.4"/>
    <x v="49"/>
    <d v="2025-02-22T00:00:00"/>
    <s v="F"/>
    <x v="3"/>
    <x v="0"/>
    <x v="0"/>
    <x v="18"/>
    <x v="2"/>
    <n v="8"/>
    <x v="2"/>
  </r>
  <r>
    <s v="TX501316"/>
    <x v="10"/>
    <x v="3"/>
    <n v="20.6"/>
    <n v="144.20000000000002"/>
    <x v="49"/>
    <d v="2025-02-24T00:00:00"/>
    <s v=""/>
    <x v="2"/>
    <x v="1"/>
    <x v="0"/>
    <x v="19"/>
    <x v="0"/>
    <n v="8"/>
    <x v="0"/>
  </r>
  <r>
    <s v="TX501317"/>
    <x v="12"/>
    <x v="2"/>
    <n v="37.1"/>
    <n v="111.30000000000001"/>
    <x v="49"/>
    <d v="2025-02-20T00:00:00"/>
    <s v="F"/>
    <x v="0"/>
    <x v="0"/>
    <x v="0"/>
    <x v="52"/>
    <x v="3"/>
    <n v="8"/>
    <x v="2"/>
  </r>
  <r>
    <s v="TX501318"/>
    <x v="12"/>
    <x v="0"/>
    <n v="104.8"/>
    <n v="104.8"/>
    <x v="50"/>
    <d v="2025-02-22T00:00:00"/>
    <s v="F"/>
    <x v="0"/>
    <x v="0"/>
    <x v="0"/>
    <x v="13"/>
    <x v="1"/>
    <n v="8"/>
    <x v="2"/>
  </r>
  <r>
    <s v="TX501319"/>
    <x v="8"/>
    <x v="1"/>
    <n v="59"/>
    <n v="118"/>
    <x v="50"/>
    <d v="2025-02-21T00:00:00"/>
    <s v="M"/>
    <x v="1"/>
    <x v="0"/>
    <x v="0"/>
    <x v="21"/>
    <x v="3"/>
    <n v="8"/>
    <x v="1"/>
  </r>
  <r>
    <s v="TX501320"/>
    <x v="8"/>
    <x v="1"/>
    <n v="32.299999999999997"/>
    <n v="64.599999999999994"/>
    <x v="50"/>
    <d v="2025-02-21T00:00:00"/>
    <s v="M"/>
    <x v="0"/>
    <x v="2"/>
    <x v="0"/>
    <x v="21"/>
    <x v="3"/>
    <n v="8"/>
    <x v="1"/>
  </r>
  <r>
    <s v="TX501321"/>
    <x v="8"/>
    <x v="12"/>
    <n v="28.9"/>
    <n v="115.6"/>
    <x v="50"/>
    <d v="2025-02-27T00:00:00"/>
    <s v="M"/>
    <x v="0"/>
    <x v="0"/>
    <x v="0"/>
    <x v="1"/>
    <x v="6"/>
    <n v="8"/>
    <x v="1"/>
  </r>
  <r>
    <s v="TX501322"/>
    <x v="0"/>
    <x v="1"/>
    <n v="29.6"/>
    <n v="59.2"/>
    <x v="50"/>
    <d v="2025-02-22T00:00:00"/>
    <s v="M"/>
    <x v="0"/>
    <x v="0"/>
    <x v="0"/>
    <x v="1"/>
    <x v="1"/>
    <n v="8"/>
    <x v="1"/>
  </r>
  <r>
    <s v="TX501323"/>
    <x v="0"/>
    <x v="9"/>
    <n v="29.4"/>
    <n v="147"/>
    <x v="50"/>
    <d v="2025-02-23T00:00:00"/>
    <s v="F"/>
    <x v="0"/>
    <x v="0"/>
    <x v="0"/>
    <x v="1"/>
    <x v="2"/>
    <n v="8"/>
    <x v="2"/>
  </r>
  <r>
    <s v="TX501324"/>
    <x v="1"/>
    <x v="1"/>
    <n v="40.6"/>
    <n v="81.2"/>
    <x v="50"/>
    <d v="2025-02-21T00:00:00"/>
    <s v="M"/>
    <x v="0"/>
    <x v="4"/>
    <x v="0"/>
    <x v="2"/>
    <x v="3"/>
    <n v="8"/>
    <x v="1"/>
  </r>
  <r>
    <s v="TX501325"/>
    <x v="0"/>
    <x v="2"/>
    <n v="32.5"/>
    <n v="97.5"/>
    <x v="50"/>
    <d v="2025-02-21T00:00:00"/>
    <s v="M"/>
    <x v="3"/>
    <x v="2"/>
    <x v="0"/>
    <x v="22"/>
    <x v="3"/>
    <n v="8"/>
    <x v="1"/>
  </r>
  <r>
    <s v="TX501326"/>
    <x v="15"/>
    <x v="0"/>
    <n v="26.2"/>
    <n v="26.2"/>
    <x v="50"/>
    <d v="2025-02-22T00:00:00"/>
    <s v="M"/>
    <x v="2"/>
    <x v="0"/>
    <x v="0"/>
    <x v="55"/>
    <x v="1"/>
    <n v="8"/>
    <x v="1"/>
  </r>
  <r>
    <s v="TX501327"/>
    <x v="10"/>
    <x v="17"/>
    <n v="44"/>
    <n v="1320"/>
    <x v="50"/>
    <d v="2025-02-26T00:00:00"/>
    <s v="M"/>
    <x v="4"/>
    <x v="0"/>
    <x v="0"/>
    <x v="3"/>
    <x v="4"/>
    <n v="8"/>
    <x v="1"/>
  </r>
  <r>
    <s v="TX501328"/>
    <x v="7"/>
    <x v="12"/>
    <n v="65.599999999999994"/>
    <n v="262.39999999999998"/>
    <x v="50"/>
    <d v="2025-02-21T00:00:00"/>
    <s v="F"/>
    <x v="1"/>
    <x v="1"/>
    <x v="0"/>
    <x v="3"/>
    <x v="3"/>
    <n v="8"/>
    <x v="2"/>
  </r>
  <r>
    <s v="TX501329"/>
    <x v="5"/>
    <x v="4"/>
    <n v="32.6"/>
    <n v="391.20000000000005"/>
    <x v="50"/>
    <d v="2025-02-21T00:00:00"/>
    <s v="M"/>
    <x v="4"/>
    <x v="0"/>
    <x v="0"/>
    <x v="3"/>
    <x v="3"/>
    <n v="8"/>
    <x v="1"/>
  </r>
  <r>
    <s v="TX501330"/>
    <x v="16"/>
    <x v="1"/>
    <n v="88.7"/>
    <n v="177.4"/>
    <x v="50"/>
    <d v="2025-02-21T00:00:00"/>
    <s v=""/>
    <x v="3"/>
    <x v="2"/>
    <x v="0"/>
    <x v="3"/>
    <x v="3"/>
    <n v="8"/>
    <x v="0"/>
  </r>
  <r>
    <s v="TX501331"/>
    <x v="4"/>
    <x v="1"/>
    <n v="21.3"/>
    <n v="42.6"/>
    <x v="50"/>
    <d v="2025-02-21T00:00:00"/>
    <s v="M"/>
    <x v="0"/>
    <x v="0"/>
    <x v="0"/>
    <x v="3"/>
    <x v="3"/>
    <n v="8"/>
    <x v="1"/>
  </r>
  <r>
    <s v="TX501332"/>
    <x v="4"/>
    <x v="13"/>
    <n v="50.6"/>
    <n v="303.60000000000002"/>
    <x v="50"/>
    <d v="2025-02-24T00:00:00"/>
    <s v="F"/>
    <x v="2"/>
    <x v="0"/>
    <x v="0"/>
    <x v="3"/>
    <x v="5"/>
    <n v="8"/>
    <x v="2"/>
  </r>
  <r>
    <s v="TX501333"/>
    <x v="9"/>
    <x v="38"/>
    <n v="86.9"/>
    <n v="1824.9"/>
    <x v="50"/>
    <d v="2025-02-23T00:00:00"/>
    <s v="F"/>
    <x v="0"/>
    <x v="1"/>
    <x v="0"/>
    <x v="3"/>
    <x v="2"/>
    <n v="8"/>
    <x v="2"/>
  </r>
  <r>
    <s v="TX501334"/>
    <x v="11"/>
    <x v="2"/>
    <n v="31.8"/>
    <n v="95.4"/>
    <x v="50"/>
    <d v="2025-02-22T00:00:00"/>
    <s v="M"/>
    <x v="0"/>
    <x v="2"/>
    <x v="0"/>
    <x v="3"/>
    <x v="1"/>
    <n v="8"/>
    <x v="1"/>
  </r>
  <r>
    <s v="TX501335"/>
    <x v="8"/>
    <x v="0"/>
    <n v="19"/>
    <n v="19"/>
    <x v="50"/>
    <d v="2025-02-21T00:00:00"/>
    <s v="F"/>
    <x v="0"/>
    <x v="2"/>
    <x v="0"/>
    <x v="3"/>
    <x v="3"/>
    <n v="8"/>
    <x v="2"/>
  </r>
  <r>
    <s v="TX501336"/>
    <x v="5"/>
    <x v="0"/>
    <n v="54.5"/>
    <n v="54.5"/>
    <x v="50"/>
    <d v="2025-02-22T00:00:00"/>
    <s v="M"/>
    <x v="0"/>
    <x v="0"/>
    <x v="0"/>
    <x v="3"/>
    <x v="1"/>
    <n v="8"/>
    <x v="1"/>
  </r>
  <r>
    <s v="TX501337"/>
    <x v="9"/>
    <x v="9"/>
    <n v="68.900000000000006"/>
    <n v="344.5"/>
    <x v="50"/>
    <d v="2025-02-22T00:00:00"/>
    <s v="M"/>
    <x v="4"/>
    <x v="1"/>
    <x v="0"/>
    <x v="3"/>
    <x v="1"/>
    <n v="8"/>
    <x v="1"/>
  </r>
  <r>
    <s v="TX501338"/>
    <x v="6"/>
    <x v="2"/>
    <n v="84"/>
    <n v="252"/>
    <x v="50"/>
    <d v="2025-02-21T00:00:00"/>
    <s v="M"/>
    <x v="1"/>
    <x v="4"/>
    <x v="0"/>
    <x v="16"/>
    <x v="3"/>
    <n v="8"/>
    <x v="1"/>
  </r>
  <r>
    <s v="TX501339"/>
    <x v="15"/>
    <x v="8"/>
    <n v="23.1"/>
    <n v="184.8"/>
    <x v="50"/>
    <d v="2025-02-25T00:00:00"/>
    <s v="M"/>
    <x v="0"/>
    <x v="2"/>
    <x v="0"/>
    <x v="23"/>
    <x v="0"/>
    <n v="8"/>
    <x v="1"/>
  </r>
  <r>
    <s v="TX501340"/>
    <x v="7"/>
    <x v="1"/>
    <n v="62.4"/>
    <n v="124.8"/>
    <x v="50"/>
    <d v="2025-02-21T00:00:00"/>
    <s v="F"/>
    <x v="0"/>
    <x v="1"/>
    <x v="0"/>
    <x v="6"/>
    <x v="3"/>
    <n v="8"/>
    <x v="2"/>
  </r>
  <r>
    <s v="TX501341"/>
    <x v="6"/>
    <x v="4"/>
    <n v="40.700000000000003"/>
    <n v="488.40000000000003"/>
    <x v="50"/>
    <d v="2025-02-22T00:00:00"/>
    <s v="M"/>
    <x v="1"/>
    <x v="2"/>
    <x v="0"/>
    <x v="6"/>
    <x v="1"/>
    <n v="8"/>
    <x v="1"/>
  </r>
  <r>
    <s v="TX501342"/>
    <x v="6"/>
    <x v="0"/>
    <n v="49.6"/>
    <n v="49.6"/>
    <x v="50"/>
    <d v="2025-02-23T00:00:00"/>
    <s v="M"/>
    <x v="2"/>
    <x v="0"/>
    <x v="0"/>
    <x v="7"/>
    <x v="2"/>
    <n v="8"/>
    <x v="1"/>
  </r>
  <r>
    <s v="TX501343"/>
    <x v="7"/>
    <x v="41"/>
    <n v="66.599999999999994"/>
    <n v="2996.9999999999995"/>
    <x v="50"/>
    <d v="2025-02-23T00:00:00"/>
    <s v="M"/>
    <x v="2"/>
    <x v="0"/>
    <x v="0"/>
    <x v="8"/>
    <x v="2"/>
    <n v="8"/>
    <x v="1"/>
  </r>
  <r>
    <s v="TX501344"/>
    <x v="8"/>
    <x v="2"/>
    <n v="26.4"/>
    <n v="79.199999999999989"/>
    <x v="50"/>
    <d v="2025-02-21T00:00:00"/>
    <s v="F"/>
    <x v="1"/>
    <x v="1"/>
    <x v="0"/>
    <x v="8"/>
    <x v="3"/>
    <n v="8"/>
    <x v="2"/>
  </r>
  <r>
    <s v="TX501345"/>
    <x v="0"/>
    <x v="1"/>
    <n v="17.2"/>
    <n v="34.4"/>
    <x v="50"/>
    <d v="2025-02-23T00:00:00"/>
    <s v="M"/>
    <x v="2"/>
    <x v="1"/>
    <x v="0"/>
    <x v="8"/>
    <x v="2"/>
    <n v="8"/>
    <x v="1"/>
  </r>
  <r>
    <s v="TX501346"/>
    <x v="5"/>
    <x v="8"/>
    <n v="58.1"/>
    <n v="464.8"/>
    <x v="50"/>
    <d v="2025-02-23T00:00:00"/>
    <s v="F"/>
    <x v="4"/>
    <x v="0"/>
    <x v="0"/>
    <x v="8"/>
    <x v="2"/>
    <n v="8"/>
    <x v="2"/>
  </r>
  <r>
    <s v="TX501347"/>
    <x v="15"/>
    <x v="12"/>
    <n v="31.5"/>
    <n v="126"/>
    <x v="50"/>
    <d v="2025-02-23T00:00:00"/>
    <s v="F"/>
    <x v="4"/>
    <x v="4"/>
    <x v="0"/>
    <x v="8"/>
    <x v="2"/>
    <n v="8"/>
    <x v="2"/>
  </r>
  <r>
    <s v="TX501348"/>
    <x v="0"/>
    <x v="0"/>
    <n v="27.1"/>
    <n v="27.1"/>
    <x v="50"/>
    <d v="2025-02-22T00:00:00"/>
    <s v="F"/>
    <x v="0"/>
    <x v="1"/>
    <x v="0"/>
    <x v="17"/>
    <x v="1"/>
    <n v="8"/>
    <x v="2"/>
  </r>
  <r>
    <s v="TX501349"/>
    <x v="18"/>
    <x v="12"/>
    <n v="28.5"/>
    <n v="114"/>
    <x v="50"/>
    <d v="2025-02-22T00:00:00"/>
    <s v="M"/>
    <x v="1"/>
    <x v="2"/>
    <x v="0"/>
    <x v="9"/>
    <x v="1"/>
    <n v="8"/>
    <x v="1"/>
  </r>
  <r>
    <s v="TX501350"/>
    <x v="10"/>
    <x v="0"/>
    <n v="40.5"/>
    <n v="40.5"/>
    <x v="51"/>
    <d v="2025-02-23T00:00:00"/>
    <s v="O"/>
    <x v="2"/>
    <x v="0"/>
    <x v="0"/>
    <x v="9"/>
    <x v="1"/>
    <n v="8"/>
    <x v="3"/>
  </r>
  <r>
    <s v="TX501351"/>
    <x v="2"/>
    <x v="2"/>
    <n v="77.900000000000006"/>
    <n v="233.70000000000002"/>
    <x v="51"/>
    <d v="2025-02-25T00:00:00"/>
    <s v="F"/>
    <x v="1"/>
    <x v="2"/>
    <x v="0"/>
    <x v="19"/>
    <x v="5"/>
    <n v="8"/>
    <x v="2"/>
  </r>
  <r>
    <s v="TX501352"/>
    <x v="18"/>
    <x v="12"/>
    <n v="37.1"/>
    <n v="148.4"/>
    <x v="51"/>
    <d v="2025-02-23T00:00:00"/>
    <s v="M"/>
    <x v="4"/>
    <x v="2"/>
    <x v="0"/>
    <x v="19"/>
    <x v="1"/>
    <n v="8"/>
    <x v="1"/>
  </r>
  <r>
    <s v="TX501353"/>
    <x v="16"/>
    <x v="2"/>
    <n v="51.6"/>
    <n v="154.80000000000001"/>
    <x v="51"/>
    <d v="2025-03-01T00:00:00"/>
    <s v="F"/>
    <x v="0"/>
    <x v="4"/>
    <x v="0"/>
    <x v="19"/>
    <x v="9"/>
    <n v="8"/>
    <x v="2"/>
  </r>
  <r>
    <s v="TX501354"/>
    <x v="7"/>
    <x v="2"/>
    <n v="98"/>
    <n v="294"/>
    <x v="51"/>
    <d v="2025-02-22T00:00:00"/>
    <s v="M"/>
    <x v="1"/>
    <x v="1"/>
    <x v="0"/>
    <x v="19"/>
    <x v="3"/>
    <n v="8"/>
    <x v="1"/>
  </r>
  <r>
    <s v="TX501355"/>
    <x v="6"/>
    <x v="3"/>
    <n v="41.4"/>
    <n v="289.8"/>
    <x v="51"/>
    <d v="2025-02-22T00:00:00"/>
    <s v="M"/>
    <x v="1"/>
    <x v="0"/>
    <x v="0"/>
    <x v="20"/>
    <x v="3"/>
    <n v="8"/>
    <x v="1"/>
  </r>
  <r>
    <s v="TX501356"/>
    <x v="11"/>
    <x v="8"/>
    <n v="34"/>
    <n v="272"/>
    <x v="51"/>
    <d v="2025-02-26T00:00:00"/>
    <s v="F"/>
    <x v="0"/>
    <x v="2"/>
    <x v="0"/>
    <x v="52"/>
    <x v="0"/>
    <n v="8"/>
    <x v="2"/>
  </r>
  <r>
    <s v="TX501357"/>
    <x v="6"/>
    <x v="0"/>
    <n v="66.3"/>
    <n v="66.3"/>
    <x v="51"/>
    <d v="2025-02-22T00:00:00"/>
    <s v="F"/>
    <x v="1"/>
    <x v="0"/>
    <x v="0"/>
    <x v="13"/>
    <x v="3"/>
    <n v="8"/>
    <x v="2"/>
  </r>
  <r>
    <s v="TX501358"/>
    <x v="7"/>
    <x v="0"/>
    <n v="33.5"/>
    <n v="33.5"/>
    <x v="51"/>
    <d v="2025-02-25T00:00:00"/>
    <s v="M"/>
    <x v="2"/>
    <x v="0"/>
    <x v="0"/>
    <x v="13"/>
    <x v="5"/>
    <n v="8"/>
    <x v="1"/>
  </r>
  <r>
    <s v="TX501359"/>
    <x v="12"/>
    <x v="1"/>
    <n v="70.8"/>
    <n v="141.6"/>
    <x v="51"/>
    <d v="2025-02-22T00:00:00"/>
    <s v=""/>
    <x v="0"/>
    <x v="0"/>
    <x v="0"/>
    <x v="28"/>
    <x v="3"/>
    <n v="8"/>
    <x v="0"/>
  </r>
  <r>
    <s v="TX501360"/>
    <x v="6"/>
    <x v="1"/>
    <n v="127.6"/>
    <n v="255.2"/>
    <x v="51"/>
    <d v="2025-02-22T00:00:00"/>
    <s v="M"/>
    <x v="0"/>
    <x v="0"/>
    <x v="0"/>
    <x v="21"/>
    <x v="3"/>
    <n v="8"/>
    <x v="1"/>
  </r>
  <r>
    <s v="TX501361"/>
    <x v="6"/>
    <x v="2"/>
    <n v="95.9"/>
    <n v="287.70000000000005"/>
    <x v="51"/>
    <d v="2025-02-22T00:00:00"/>
    <s v="F"/>
    <x v="1"/>
    <x v="1"/>
    <x v="0"/>
    <x v="21"/>
    <x v="3"/>
    <n v="8"/>
    <x v="2"/>
  </r>
  <r>
    <s v="TX501362"/>
    <x v="2"/>
    <x v="1"/>
    <n v="78.099999999999994"/>
    <n v="156.19999999999999"/>
    <x v="51"/>
    <d v="2025-02-22T00:00:00"/>
    <s v="M"/>
    <x v="0"/>
    <x v="0"/>
    <x v="0"/>
    <x v="1"/>
    <x v="3"/>
    <n v="8"/>
    <x v="1"/>
  </r>
  <r>
    <s v="TX501363"/>
    <x v="13"/>
    <x v="1"/>
    <n v="43.2"/>
    <n v="86.4"/>
    <x v="51"/>
    <d v="2025-02-22T00:00:00"/>
    <s v=""/>
    <x v="1"/>
    <x v="1"/>
    <x v="0"/>
    <x v="1"/>
    <x v="3"/>
    <n v="8"/>
    <x v="0"/>
  </r>
  <r>
    <s v="TX501364"/>
    <x v="8"/>
    <x v="12"/>
    <n v="28.4"/>
    <n v="113.6"/>
    <x v="51"/>
    <d v="2025-02-27T00:00:00"/>
    <s v="M"/>
    <x v="2"/>
    <x v="0"/>
    <x v="0"/>
    <x v="3"/>
    <x v="4"/>
    <n v="8"/>
    <x v="1"/>
  </r>
  <r>
    <s v="TX501365"/>
    <x v="2"/>
    <x v="1"/>
    <n v="81.7"/>
    <n v="163.4"/>
    <x v="51"/>
    <d v="2025-02-21T00:00:00"/>
    <s v="M"/>
    <x v="0"/>
    <x v="0"/>
    <x v="0"/>
    <x v="3"/>
    <x v="7"/>
    <n v="8"/>
    <x v="1"/>
  </r>
  <r>
    <s v="TX501366"/>
    <x v="18"/>
    <x v="1"/>
    <n v="56.7"/>
    <n v="113.4"/>
    <x v="51"/>
    <d v="2025-02-23T00:00:00"/>
    <s v=""/>
    <x v="0"/>
    <x v="2"/>
    <x v="0"/>
    <x v="3"/>
    <x v="1"/>
    <n v="8"/>
    <x v="0"/>
  </r>
  <r>
    <s v="TX501367"/>
    <x v="3"/>
    <x v="12"/>
    <n v="66.5"/>
    <n v="266"/>
    <x v="51"/>
    <d v="2025-02-21T00:00:00"/>
    <s v="F"/>
    <x v="0"/>
    <x v="2"/>
    <x v="0"/>
    <x v="3"/>
    <x v="7"/>
    <n v="8"/>
    <x v="2"/>
  </r>
  <r>
    <s v="TX501368"/>
    <x v="1"/>
    <x v="1"/>
    <n v="105.3"/>
    <n v="210.6"/>
    <x v="51"/>
    <d v="2025-02-25T00:00:00"/>
    <s v="M"/>
    <x v="0"/>
    <x v="1"/>
    <x v="0"/>
    <x v="3"/>
    <x v="5"/>
    <n v="8"/>
    <x v="1"/>
  </r>
  <r>
    <s v="TX501369"/>
    <x v="10"/>
    <x v="9"/>
    <n v="33.799999999999997"/>
    <n v="169"/>
    <x v="51"/>
    <d v="2025-02-26T00:00:00"/>
    <s v="M"/>
    <x v="0"/>
    <x v="0"/>
    <x v="0"/>
    <x v="3"/>
    <x v="0"/>
    <n v="8"/>
    <x v="1"/>
  </r>
  <r>
    <s v="TX501370"/>
    <x v="6"/>
    <x v="2"/>
    <n v="63.4"/>
    <n v="190.2"/>
    <x v="51"/>
    <d v="2025-02-26T00:00:00"/>
    <s v="M"/>
    <x v="3"/>
    <x v="1"/>
    <x v="0"/>
    <x v="24"/>
    <x v="0"/>
    <n v="8"/>
    <x v="1"/>
  </r>
  <r>
    <s v="TX501371"/>
    <x v="6"/>
    <x v="2"/>
    <n v="49"/>
    <n v="147"/>
    <x v="51"/>
    <d v="2025-02-25T00:00:00"/>
    <s v="M"/>
    <x v="3"/>
    <x v="0"/>
    <x v="0"/>
    <x v="49"/>
    <x v="5"/>
    <n v="8"/>
    <x v="1"/>
  </r>
  <r>
    <s v="TX501372"/>
    <x v="1"/>
    <x v="1"/>
    <n v="40"/>
    <n v="80"/>
    <x v="51"/>
    <d v="2025-02-22T00:00:00"/>
    <s v="F"/>
    <x v="4"/>
    <x v="1"/>
    <x v="0"/>
    <x v="23"/>
    <x v="3"/>
    <n v="8"/>
    <x v="2"/>
  </r>
  <r>
    <s v="TX501373"/>
    <x v="6"/>
    <x v="12"/>
    <n v="86.3"/>
    <n v="345.2"/>
    <x v="51"/>
    <d v="2025-02-22T00:00:00"/>
    <s v="O"/>
    <x v="0"/>
    <x v="0"/>
    <x v="0"/>
    <x v="6"/>
    <x v="3"/>
    <n v="8"/>
    <x v="3"/>
  </r>
  <r>
    <s v="TX501374"/>
    <x v="6"/>
    <x v="0"/>
    <n v="51.6"/>
    <n v="51.6"/>
    <x v="51"/>
    <d v="2025-02-23T00:00:00"/>
    <s v="F"/>
    <x v="2"/>
    <x v="2"/>
    <x v="0"/>
    <x v="6"/>
    <x v="1"/>
    <n v="8"/>
    <x v="2"/>
  </r>
  <r>
    <s v="TX501375"/>
    <x v="10"/>
    <x v="2"/>
    <n v="26.7"/>
    <n v="80.099999999999994"/>
    <x v="51"/>
    <d v="2025-02-26T00:00:00"/>
    <s v="F"/>
    <x v="2"/>
    <x v="1"/>
    <x v="0"/>
    <x v="6"/>
    <x v="0"/>
    <n v="8"/>
    <x v="2"/>
  </r>
  <r>
    <s v="TX501376"/>
    <x v="18"/>
    <x v="1"/>
    <n v="68.099999999999994"/>
    <n v="136.19999999999999"/>
    <x v="51"/>
    <d v="2025-02-22T00:00:00"/>
    <s v="M"/>
    <x v="0"/>
    <x v="1"/>
    <x v="0"/>
    <x v="6"/>
    <x v="3"/>
    <n v="8"/>
    <x v="1"/>
  </r>
  <r>
    <s v="TX501377"/>
    <x v="1"/>
    <x v="0"/>
    <n v="81.7"/>
    <n v="81.7"/>
    <x v="51"/>
    <d v="2025-02-22T00:00:00"/>
    <s v="M"/>
    <x v="0"/>
    <x v="0"/>
    <x v="0"/>
    <x v="7"/>
    <x v="3"/>
    <n v="8"/>
    <x v="1"/>
  </r>
  <r>
    <s v="TX501378"/>
    <x v="18"/>
    <x v="7"/>
    <n v="25.1"/>
    <n v="251"/>
    <x v="51"/>
    <d v="2025-02-24T00:00:00"/>
    <s v="M"/>
    <x v="3"/>
    <x v="1"/>
    <x v="0"/>
    <x v="8"/>
    <x v="2"/>
    <n v="8"/>
    <x v="1"/>
  </r>
  <r>
    <s v="TX501379"/>
    <x v="8"/>
    <x v="0"/>
    <n v="20.2"/>
    <n v="20.2"/>
    <x v="51"/>
    <d v="2025-02-25T00:00:00"/>
    <s v="F"/>
    <x v="0"/>
    <x v="0"/>
    <x v="0"/>
    <x v="8"/>
    <x v="5"/>
    <n v="8"/>
    <x v="2"/>
  </r>
  <r>
    <s v="TX501380"/>
    <x v="8"/>
    <x v="2"/>
    <n v="15.4"/>
    <n v="46.2"/>
    <x v="51"/>
    <d v="2025-02-22T00:00:00"/>
    <s v="M"/>
    <x v="1"/>
    <x v="2"/>
    <x v="0"/>
    <x v="8"/>
    <x v="3"/>
    <n v="8"/>
    <x v="1"/>
  </r>
  <r>
    <s v="TX501381"/>
    <x v="10"/>
    <x v="0"/>
    <n v="59.2"/>
    <n v="59.2"/>
    <x v="51"/>
    <d v="2025-02-22T00:00:00"/>
    <s v="M"/>
    <x v="2"/>
    <x v="2"/>
    <x v="0"/>
    <x v="17"/>
    <x v="3"/>
    <n v="8"/>
    <x v="1"/>
  </r>
  <r>
    <s v="TX501382"/>
    <x v="0"/>
    <x v="0"/>
    <n v="46.7"/>
    <n v="46.7"/>
    <x v="51"/>
    <d v="2025-02-26T00:00:00"/>
    <s v="M"/>
    <x v="0"/>
    <x v="0"/>
    <x v="0"/>
    <x v="17"/>
    <x v="0"/>
    <n v="8"/>
    <x v="1"/>
  </r>
  <r>
    <s v="TX501383"/>
    <x v="6"/>
    <x v="20"/>
    <n v="41.6"/>
    <n v="624"/>
    <x v="51"/>
    <d v="2025-02-23T00:00:00"/>
    <s v="M"/>
    <x v="1"/>
    <x v="0"/>
    <x v="0"/>
    <x v="26"/>
    <x v="1"/>
    <n v="8"/>
    <x v="1"/>
  </r>
  <r>
    <s v="TX501384"/>
    <x v="8"/>
    <x v="1"/>
    <n v="19.2"/>
    <n v="38.4"/>
    <x v="51"/>
    <d v="2025-02-24T00:00:00"/>
    <s v="M"/>
    <x v="4"/>
    <x v="2"/>
    <x v="0"/>
    <x v="9"/>
    <x v="2"/>
    <n v="8"/>
    <x v="1"/>
  </r>
  <r>
    <s v="TX501385"/>
    <x v="17"/>
    <x v="3"/>
    <n v="41.8"/>
    <n v="292.59999999999997"/>
    <x v="51"/>
    <d v="2025-02-23T00:00:00"/>
    <s v="F"/>
    <x v="2"/>
    <x v="0"/>
    <x v="0"/>
    <x v="11"/>
    <x v="1"/>
    <n v="8"/>
    <x v="2"/>
  </r>
  <r>
    <s v="TX501386"/>
    <x v="8"/>
    <x v="13"/>
    <n v="37.4"/>
    <n v="224.39999999999998"/>
    <x v="51"/>
    <d v="2025-02-23T00:00:00"/>
    <s v="M"/>
    <x v="0"/>
    <x v="2"/>
    <x v="0"/>
    <x v="11"/>
    <x v="1"/>
    <n v="8"/>
    <x v="1"/>
  </r>
  <r>
    <s v="TX501387"/>
    <x v="10"/>
    <x v="2"/>
    <n v="60.2"/>
    <n v="180.60000000000002"/>
    <x v="51"/>
    <d v="2025-02-24T00:00:00"/>
    <s v="M"/>
    <x v="4"/>
    <x v="1"/>
    <x v="0"/>
    <x v="38"/>
    <x v="2"/>
    <n v="8"/>
    <x v="1"/>
  </r>
  <r>
    <s v="TX501388"/>
    <x v="9"/>
    <x v="1"/>
    <n v="91.5"/>
    <n v="183"/>
    <x v="52"/>
    <d v="2025-02-23T00:00:00"/>
    <s v="M"/>
    <x v="0"/>
    <x v="0"/>
    <x v="0"/>
    <x v="13"/>
    <x v="3"/>
    <n v="8"/>
    <x v="1"/>
  </r>
  <r>
    <s v="TX501389"/>
    <x v="3"/>
    <x v="9"/>
    <n v="55.7"/>
    <n v="278.5"/>
    <x v="52"/>
    <d v="2025-02-24T00:00:00"/>
    <s v=""/>
    <x v="1"/>
    <x v="2"/>
    <x v="0"/>
    <x v="21"/>
    <x v="1"/>
    <n v="8"/>
    <x v="0"/>
  </r>
  <r>
    <s v="TX501390"/>
    <x v="7"/>
    <x v="1"/>
    <n v="76.7"/>
    <n v="153.4"/>
    <x v="52"/>
    <d v="2025-02-24T00:00:00"/>
    <s v="M"/>
    <x v="0"/>
    <x v="1"/>
    <x v="0"/>
    <x v="21"/>
    <x v="1"/>
    <n v="8"/>
    <x v="1"/>
  </r>
  <r>
    <s v="TX501391"/>
    <x v="8"/>
    <x v="38"/>
    <n v="28.2"/>
    <n v="592.19999999999993"/>
    <x v="52"/>
    <d v="2025-02-27T00:00:00"/>
    <s v="M"/>
    <x v="2"/>
    <x v="0"/>
    <x v="0"/>
    <x v="1"/>
    <x v="0"/>
    <n v="8"/>
    <x v="1"/>
  </r>
  <r>
    <s v="TX501392"/>
    <x v="7"/>
    <x v="9"/>
    <n v="93.2"/>
    <n v="466"/>
    <x v="52"/>
    <d v="2025-02-24T00:00:00"/>
    <s v="F"/>
    <x v="4"/>
    <x v="2"/>
    <x v="0"/>
    <x v="1"/>
    <x v="1"/>
    <n v="8"/>
    <x v="2"/>
  </r>
  <r>
    <s v="TX501393"/>
    <x v="17"/>
    <x v="0"/>
    <n v="33.299999999999997"/>
    <n v="33.299999999999997"/>
    <x v="52"/>
    <d v="2025-02-23T00:00:00"/>
    <s v="M"/>
    <x v="4"/>
    <x v="0"/>
    <x v="0"/>
    <x v="2"/>
    <x v="3"/>
    <n v="8"/>
    <x v="1"/>
  </r>
  <r>
    <s v="TX501394"/>
    <x v="10"/>
    <x v="1"/>
    <n v="39.1"/>
    <n v="78.2"/>
    <x v="52"/>
    <d v="2025-02-25T00:00:00"/>
    <s v="M"/>
    <x v="0"/>
    <x v="0"/>
    <x v="0"/>
    <x v="44"/>
    <x v="2"/>
    <n v="8"/>
    <x v="1"/>
  </r>
  <r>
    <s v="TX501395"/>
    <x v="7"/>
    <x v="4"/>
    <n v="45.3"/>
    <n v="543.59999999999991"/>
    <x v="52"/>
    <d v="2025-02-23T00:00:00"/>
    <s v="M"/>
    <x v="2"/>
    <x v="0"/>
    <x v="0"/>
    <x v="33"/>
    <x v="3"/>
    <n v="8"/>
    <x v="1"/>
  </r>
  <r>
    <s v="TX501396"/>
    <x v="9"/>
    <x v="3"/>
    <n v="33.9"/>
    <n v="237.29999999999998"/>
    <x v="52"/>
    <d v="2025-02-23T00:00:00"/>
    <s v="M"/>
    <x v="4"/>
    <x v="0"/>
    <x v="0"/>
    <x v="33"/>
    <x v="3"/>
    <n v="8"/>
    <x v="1"/>
  </r>
  <r>
    <s v="TX501397"/>
    <x v="8"/>
    <x v="2"/>
    <n v="19"/>
    <n v="57"/>
    <x v="52"/>
    <d v="2025-02-23T00:00:00"/>
    <s v="M"/>
    <x v="0"/>
    <x v="2"/>
    <x v="0"/>
    <x v="15"/>
    <x v="3"/>
    <n v="8"/>
    <x v="1"/>
  </r>
  <r>
    <s v="TX501398"/>
    <x v="4"/>
    <x v="0"/>
    <n v="41.9"/>
    <n v="41.9"/>
    <x v="52"/>
    <d v="2025-02-25T00:00:00"/>
    <s v="F"/>
    <x v="2"/>
    <x v="0"/>
    <x v="0"/>
    <x v="22"/>
    <x v="2"/>
    <n v="8"/>
    <x v="2"/>
  </r>
  <r>
    <s v="TX501399"/>
    <x v="1"/>
    <x v="12"/>
    <n v="37.5"/>
    <n v="150"/>
    <x v="52"/>
    <d v="2025-02-22T00:00:00"/>
    <s v="F"/>
    <x v="0"/>
    <x v="0"/>
    <x v="0"/>
    <x v="3"/>
    <x v="7"/>
    <n v="8"/>
    <x v="2"/>
  </r>
  <r>
    <s v="TX501400"/>
    <x v="0"/>
    <x v="1"/>
    <n v="40.799999999999997"/>
    <n v="81.599999999999994"/>
    <x v="52"/>
    <d v="2025-02-25T00:00:00"/>
    <s v="M"/>
    <x v="0"/>
    <x v="0"/>
    <x v="0"/>
    <x v="3"/>
    <x v="2"/>
    <n v="8"/>
    <x v="1"/>
  </r>
  <r>
    <s v="TX501401"/>
    <x v="0"/>
    <x v="12"/>
    <n v="23.1"/>
    <n v="92.4"/>
    <x v="52"/>
    <d v="2025-02-23T00:00:00"/>
    <s v="F"/>
    <x v="4"/>
    <x v="0"/>
    <x v="0"/>
    <x v="3"/>
    <x v="3"/>
    <n v="8"/>
    <x v="2"/>
  </r>
  <r>
    <s v="TX501402"/>
    <x v="8"/>
    <x v="9"/>
    <n v="39.299999999999997"/>
    <n v="196.5"/>
    <x v="52"/>
    <d v="2025-02-23T00:00:00"/>
    <s v="F"/>
    <x v="0"/>
    <x v="0"/>
    <x v="0"/>
    <x v="3"/>
    <x v="3"/>
    <n v="8"/>
    <x v="2"/>
  </r>
  <r>
    <s v="TX501403"/>
    <x v="2"/>
    <x v="12"/>
    <n v="85.2"/>
    <n v="340.8"/>
    <x v="52"/>
    <d v="2025-02-27T00:00:00"/>
    <s v="M"/>
    <x v="2"/>
    <x v="0"/>
    <x v="0"/>
    <x v="3"/>
    <x v="0"/>
    <n v="8"/>
    <x v="1"/>
  </r>
  <r>
    <s v="TX501404"/>
    <x v="8"/>
    <x v="13"/>
    <n v="16"/>
    <n v="96"/>
    <x v="52"/>
    <d v="2025-02-25T00:00:00"/>
    <s v="M"/>
    <x v="1"/>
    <x v="0"/>
    <x v="0"/>
    <x v="3"/>
    <x v="2"/>
    <n v="8"/>
    <x v="1"/>
  </r>
  <r>
    <s v="TX501405"/>
    <x v="1"/>
    <x v="1"/>
    <n v="33.799999999999997"/>
    <n v="67.599999999999994"/>
    <x v="52"/>
    <d v="2025-02-26T00:00:00"/>
    <s v="F"/>
    <x v="1"/>
    <x v="0"/>
    <x v="0"/>
    <x v="3"/>
    <x v="5"/>
    <n v="8"/>
    <x v="2"/>
  </r>
  <r>
    <s v="TX501406"/>
    <x v="3"/>
    <x v="0"/>
    <n v="70"/>
    <n v="70"/>
    <x v="52"/>
    <d v="2025-02-23T00:00:00"/>
    <s v="F"/>
    <x v="0"/>
    <x v="0"/>
    <x v="0"/>
    <x v="3"/>
    <x v="3"/>
    <n v="8"/>
    <x v="2"/>
  </r>
  <r>
    <s v="TX501407"/>
    <x v="9"/>
    <x v="0"/>
    <n v="88"/>
    <n v="88"/>
    <x v="52"/>
    <d v="2025-02-27T00:00:00"/>
    <s v="F"/>
    <x v="3"/>
    <x v="0"/>
    <x v="0"/>
    <x v="3"/>
    <x v="0"/>
    <n v="8"/>
    <x v="2"/>
  </r>
  <r>
    <s v="TX501408"/>
    <x v="2"/>
    <x v="2"/>
    <n v="74.099999999999994"/>
    <n v="222.29999999999998"/>
    <x v="52"/>
    <d v="2025-02-22T00:00:00"/>
    <s v="M"/>
    <x v="4"/>
    <x v="1"/>
    <x v="0"/>
    <x v="3"/>
    <x v="7"/>
    <n v="8"/>
    <x v="1"/>
  </r>
  <r>
    <s v="TX501409"/>
    <x v="2"/>
    <x v="0"/>
    <n v="161.9"/>
    <n v="161.9"/>
    <x v="52"/>
    <d v="2025-02-24T00:00:00"/>
    <s v="M"/>
    <x v="2"/>
    <x v="0"/>
    <x v="0"/>
    <x v="3"/>
    <x v="1"/>
    <n v="8"/>
    <x v="1"/>
  </r>
  <r>
    <s v="TX501410"/>
    <x v="4"/>
    <x v="1"/>
    <n v="44"/>
    <n v="88"/>
    <x v="52"/>
    <d v="2025-02-23T00:00:00"/>
    <s v="O"/>
    <x v="4"/>
    <x v="1"/>
    <x v="0"/>
    <x v="3"/>
    <x v="3"/>
    <n v="8"/>
    <x v="3"/>
  </r>
  <r>
    <s v="TX501411"/>
    <x v="11"/>
    <x v="0"/>
    <n v="32.1"/>
    <n v="32.1"/>
    <x v="52"/>
    <d v="2025-02-22T00:00:00"/>
    <s v="F"/>
    <x v="3"/>
    <x v="3"/>
    <x v="0"/>
    <x v="3"/>
    <x v="7"/>
    <n v="8"/>
    <x v="2"/>
  </r>
  <r>
    <s v="TX501412"/>
    <x v="2"/>
    <x v="12"/>
    <n v="104.8"/>
    <n v="419.2"/>
    <x v="53"/>
    <d v="2025-02-25T00:00:00"/>
    <s v="O"/>
    <x v="0"/>
    <x v="0"/>
    <x v="0"/>
    <x v="3"/>
    <x v="1"/>
    <n v="9"/>
    <x v="3"/>
  </r>
  <r>
    <s v="TX501413"/>
    <x v="9"/>
    <x v="13"/>
    <n v="67.400000000000006"/>
    <n v="404.40000000000003"/>
    <x v="53"/>
    <d v="2025-02-24T00:00:00"/>
    <s v="F"/>
    <x v="3"/>
    <x v="0"/>
    <x v="0"/>
    <x v="3"/>
    <x v="3"/>
    <n v="9"/>
    <x v="2"/>
  </r>
  <r>
    <s v="TX501414"/>
    <x v="6"/>
    <x v="1"/>
    <n v="115.2"/>
    <n v="230.4"/>
    <x v="53"/>
    <d v="2025-02-24T00:00:00"/>
    <s v="F"/>
    <x v="1"/>
    <x v="0"/>
    <x v="0"/>
    <x v="4"/>
    <x v="3"/>
    <n v="9"/>
    <x v="2"/>
  </r>
  <r>
    <s v="TX501415"/>
    <x v="8"/>
    <x v="19"/>
    <n v="15.5"/>
    <n v="449.5"/>
    <x v="53"/>
    <d v="2025-02-25T00:00:00"/>
    <s v="F"/>
    <x v="0"/>
    <x v="1"/>
    <x v="0"/>
    <x v="23"/>
    <x v="1"/>
    <n v="9"/>
    <x v="2"/>
  </r>
  <r>
    <s v="TX501416"/>
    <x v="6"/>
    <x v="5"/>
    <n v="66.400000000000006"/>
    <n v="730.40000000000009"/>
    <x v="53"/>
    <d v="2025-02-25T00:00:00"/>
    <s v="F"/>
    <x v="0"/>
    <x v="0"/>
    <x v="0"/>
    <x v="6"/>
    <x v="1"/>
    <n v="9"/>
    <x v="2"/>
  </r>
  <r>
    <s v="TX501417"/>
    <x v="9"/>
    <x v="4"/>
    <n v="68.099999999999994"/>
    <n v="817.19999999999993"/>
    <x v="53"/>
    <d v="2025-02-24T00:00:00"/>
    <s v="F"/>
    <x v="2"/>
    <x v="0"/>
    <x v="0"/>
    <x v="8"/>
    <x v="3"/>
    <n v="9"/>
    <x v="2"/>
  </r>
  <r>
    <s v="TX501418"/>
    <x v="8"/>
    <x v="9"/>
    <n v="32.5"/>
    <n v="162.5"/>
    <x v="53"/>
    <d v="2025-02-27T00:00:00"/>
    <s v="M"/>
    <x v="2"/>
    <x v="1"/>
    <x v="0"/>
    <x v="8"/>
    <x v="5"/>
    <n v="9"/>
    <x v="1"/>
  </r>
  <r>
    <s v="TX501419"/>
    <x v="15"/>
    <x v="2"/>
    <n v="61.2"/>
    <n v="183.60000000000002"/>
    <x v="53"/>
    <d v="2025-02-25T00:00:00"/>
    <s v="F"/>
    <x v="1"/>
    <x v="1"/>
    <x v="0"/>
    <x v="8"/>
    <x v="1"/>
    <n v="9"/>
    <x v="2"/>
  </r>
  <r>
    <s v="TX501420"/>
    <x v="9"/>
    <x v="1"/>
    <n v="54.2"/>
    <n v="108.4"/>
    <x v="53"/>
    <d v="2025-02-24T00:00:00"/>
    <s v="F"/>
    <x v="1"/>
    <x v="0"/>
    <x v="0"/>
    <x v="8"/>
    <x v="3"/>
    <n v="9"/>
    <x v="2"/>
  </r>
  <r>
    <s v="TX501421"/>
    <x v="11"/>
    <x v="8"/>
    <n v="28.7"/>
    <n v="229.6"/>
    <x v="53"/>
    <d v="2025-02-25T00:00:00"/>
    <s v="M"/>
    <x v="1"/>
    <x v="0"/>
    <x v="0"/>
    <x v="9"/>
    <x v="1"/>
    <n v="9"/>
    <x v="1"/>
  </r>
  <r>
    <s v="TX501422"/>
    <x v="12"/>
    <x v="13"/>
    <n v="38.200000000000003"/>
    <n v="229.20000000000002"/>
    <x v="53"/>
    <d v="2025-02-27T00:00:00"/>
    <s v="F"/>
    <x v="0"/>
    <x v="1"/>
    <x v="0"/>
    <x v="9"/>
    <x v="5"/>
    <n v="9"/>
    <x v="2"/>
  </r>
  <r>
    <s v="TX501423"/>
    <x v="8"/>
    <x v="4"/>
    <n v="17.600000000000001"/>
    <n v="211.20000000000002"/>
    <x v="53"/>
    <d v="2025-02-24T00:00:00"/>
    <s v="F"/>
    <x v="2"/>
    <x v="1"/>
    <x v="0"/>
    <x v="9"/>
    <x v="3"/>
    <n v="9"/>
    <x v="2"/>
  </r>
  <r>
    <s v="TX501424"/>
    <x v="10"/>
    <x v="2"/>
    <n v="74.599999999999994"/>
    <n v="223.79999999999998"/>
    <x v="53"/>
    <d v="2025-02-23T00:00:00"/>
    <s v="F"/>
    <x v="2"/>
    <x v="0"/>
    <x v="0"/>
    <x v="11"/>
    <x v="7"/>
    <n v="9"/>
    <x v="2"/>
  </r>
  <r>
    <s v="TX501425"/>
    <x v="16"/>
    <x v="20"/>
    <n v="72.599999999999994"/>
    <n v="1089"/>
    <x v="53"/>
    <d v="2025-02-23T00:00:00"/>
    <s v=""/>
    <x v="1"/>
    <x v="1"/>
    <x v="0"/>
    <x v="11"/>
    <x v="7"/>
    <n v="9"/>
    <x v="0"/>
  </r>
  <r>
    <s v="TX501426"/>
    <x v="7"/>
    <x v="0"/>
    <n v="62.3"/>
    <n v="62.3"/>
    <x v="53"/>
    <d v="2025-02-24T00:00:00"/>
    <s v="F"/>
    <x v="1"/>
    <x v="0"/>
    <x v="0"/>
    <x v="11"/>
    <x v="3"/>
    <n v="9"/>
    <x v="2"/>
  </r>
  <r>
    <s v="TX501427"/>
    <x v="3"/>
    <x v="2"/>
    <n v="33.799999999999997"/>
    <n v="101.39999999999999"/>
    <x v="53"/>
    <d v="2025-02-25T00:00:00"/>
    <s v="M"/>
    <x v="0"/>
    <x v="2"/>
    <x v="0"/>
    <x v="20"/>
    <x v="1"/>
    <n v="9"/>
    <x v="1"/>
  </r>
  <r>
    <s v="TX501428"/>
    <x v="9"/>
    <x v="0"/>
    <n v="85.7"/>
    <n v="85.7"/>
    <x v="53"/>
    <d v="2025-02-26T00:00:00"/>
    <s v="M"/>
    <x v="3"/>
    <x v="1"/>
    <x v="0"/>
    <x v="21"/>
    <x v="2"/>
    <n v="9"/>
    <x v="1"/>
  </r>
  <r>
    <s v="TX501429"/>
    <x v="6"/>
    <x v="1"/>
    <n v="92.1"/>
    <n v="184.2"/>
    <x v="53"/>
    <d v="2025-02-25T00:00:00"/>
    <s v="M"/>
    <x v="1"/>
    <x v="0"/>
    <x v="0"/>
    <x v="21"/>
    <x v="1"/>
    <n v="9"/>
    <x v="1"/>
  </r>
  <r>
    <s v="TX501430"/>
    <x v="16"/>
    <x v="2"/>
    <n v="65.099999999999994"/>
    <n v="195.29999999999998"/>
    <x v="53"/>
    <d v="2025-02-26T00:00:00"/>
    <s v="M"/>
    <x v="0"/>
    <x v="0"/>
    <x v="0"/>
    <x v="1"/>
    <x v="2"/>
    <n v="9"/>
    <x v="1"/>
  </r>
  <r>
    <s v="TX501431"/>
    <x v="9"/>
    <x v="3"/>
    <n v="20.3"/>
    <n v="142.1"/>
    <x v="53"/>
    <d v="2025-02-24T00:00:00"/>
    <s v="F"/>
    <x v="2"/>
    <x v="2"/>
    <x v="0"/>
    <x v="2"/>
    <x v="3"/>
    <n v="9"/>
    <x v="2"/>
  </r>
  <r>
    <s v="TX501432"/>
    <x v="19"/>
    <x v="1"/>
    <n v="29.8"/>
    <n v="59.6"/>
    <x v="53"/>
    <d v="2025-02-25T00:00:00"/>
    <s v="F"/>
    <x v="1"/>
    <x v="2"/>
    <x v="0"/>
    <x v="34"/>
    <x v="1"/>
    <n v="9"/>
    <x v="2"/>
  </r>
  <r>
    <s v="TX501433"/>
    <x v="0"/>
    <x v="1"/>
    <n v="24.2"/>
    <n v="48.4"/>
    <x v="53"/>
    <d v="2025-02-25T00:00:00"/>
    <s v="F"/>
    <x v="3"/>
    <x v="2"/>
    <x v="0"/>
    <x v="3"/>
    <x v="1"/>
    <n v="9"/>
    <x v="2"/>
  </r>
  <r>
    <s v="TX501434"/>
    <x v="3"/>
    <x v="0"/>
    <n v="57.3"/>
    <n v="57.3"/>
    <x v="53"/>
    <d v="2025-02-25T00:00:00"/>
    <s v="M"/>
    <x v="0"/>
    <x v="0"/>
    <x v="0"/>
    <x v="3"/>
    <x v="1"/>
    <n v="9"/>
    <x v="1"/>
  </r>
  <r>
    <s v="TX501435"/>
    <x v="2"/>
    <x v="0"/>
    <n v="108.9"/>
    <n v="108.9"/>
    <x v="53"/>
    <d v="2025-02-25T00:00:00"/>
    <s v="F"/>
    <x v="1"/>
    <x v="0"/>
    <x v="0"/>
    <x v="3"/>
    <x v="1"/>
    <n v="9"/>
    <x v="2"/>
  </r>
  <r>
    <s v="TX501436"/>
    <x v="7"/>
    <x v="9"/>
    <n v="50.7"/>
    <n v="253.5"/>
    <x v="53"/>
    <d v="2025-02-24T00:00:00"/>
    <s v="F"/>
    <x v="0"/>
    <x v="0"/>
    <x v="0"/>
    <x v="3"/>
    <x v="3"/>
    <n v="9"/>
    <x v="2"/>
  </r>
  <r>
    <s v="TX501437"/>
    <x v="7"/>
    <x v="11"/>
    <n v="66.099999999999994"/>
    <n v="594.9"/>
    <x v="53"/>
    <d v="2025-03-09T00:00:00"/>
    <s v="F"/>
    <x v="1"/>
    <x v="0"/>
    <x v="0"/>
    <x v="3"/>
    <x v="12"/>
    <n v="9"/>
    <x v="2"/>
  </r>
  <r>
    <s v="TX501438"/>
    <x v="12"/>
    <x v="9"/>
    <n v="36.700000000000003"/>
    <n v="183.5"/>
    <x v="53"/>
    <d v="2025-02-27T00:00:00"/>
    <s v="F"/>
    <x v="4"/>
    <x v="0"/>
    <x v="0"/>
    <x v="3"/>
    <x v="5"/>
    <n v="9"/>
    <x v="2"/>
  </r>
  <r>
    <s v="TX501439"/>
    <x v="8"/>
    <x v="14"/>
    <n v="19.3"/>
    <n v="328.1"/>
    <x v="53"/>
    <d v="2025-02-25T00:00:00"/>
    <s v="M"/>
    <x v="0"/>
    <x v="0"/>
    <x v="0"/>
    <x v="43"/>
    <x v="1"/>
    <n v="9"/>
    <x v="1"/>
  </r>
  <r>
    <s v="TX501440"/>
    <x v="8"/>
    <x v="12"/>
    <n v="20.7"/>
    <n v="82.8"/>
    <x v="53"/>
    <d v="2025-02-24T00:00:00"/>
    <s v="M"/>
    <x v="1"/>
    <x v="2"/>
    <x v="0"/>
    <x v="6"/>
    <x v="3"/>
    <n v="9"/>
    <x v="1"/>
  </r>
  <r>
    <s v="TX501441"/>
    <x v="5"/>
    <x v="2"/>
    <n v="54.7"/>
    <n v="164.10000000000002"/>
    <x v="53"/>
    <d v="2025-02-23T00:00:00"/>
    <s v="O"/>
    <x v="1"/>
    <x v="4"/>
    <x v="0"/>
    <x v="6"/>
    <x v="7"/>
    <n v="9"/>
    <x v="3"/>
  </r>
  <r>
    <s v="TX501442"/>
    <x v="4"/>
    <x v="1"/>
    <n v="19.8"/>
    <n v="39.6"/>
    <x v="53"/>
    <d v="2025-02-27T00:00:00"/>
    <s v="F"/>
    <x v="4"/>
    <x v="1"/>
    <x v="0"/>
    <x v="8"/>
    <x v="5"/>
    <n v="9"/>
    <x v="2"/>
  </r>
  <r>
    <s v="TX501443"/>
    <x v="7"/>
    <x v="0"/>
    <n v="41.1"/>
    <n v="41.1"/>
    <x v="53"/>
    <d v="2025-02-25T00:00:00"/>
    <s v="F"/>
    <x v="0"/>
    <x v="2"/>
    <x v="0"/>
    <x v="8"/>
    <x v="1"/>
    <n v="9"/>
    <x v="2"/>
  </r>
  <r>
    <s v="TX501444"/>
    <x v="11"/>
    <x v="8"/>
    <n v="43.5"/>
    <n v="348"/>
    <x v="53"/>
    <d v="2025-02-27T00:00:00"/>
    <s v="F"/>
    <x v="3"/>
    <x v="0"/>
    <x v="0"/>
    <x v="8"/>
    <x v="5"/>
    <n v="9"/>
    <x v="2"/>
  </r>
  <r>
    <s v="TX501445"/>
    <x v="8"/>
    <x v="21"/>
    <n v="19"/>
    <n v="266"/>
    <x v="53"/>
    <d v="2025-02-24T00:00:00"/>
    <s v="M"/>
    <x v="0"/>
    <x v="0"/>
    <x v="0"/>
    <x v="26"/>
    <x v="3"/>
    <n v="9"/>
    <x v="1"/>
  </r>
  <r>
    <s v="TX501446"/>
    <x v="2"/>
    <x v="12"/>
    <n v="51.4"/>
    <n v="205.6"/>
    <x v="53"/>
    <d v="2025-02-23T00:00:00"/>
    <s v="F"/>
    <x v="0"/>
    <x v="0"/>
    <x v="0"/>
    <x v="26"/>
    <x v="7"/>
    <n v="9"/>
    <x v="2"/>
  </r>
  <r>
    <s v="TX501447"/>
    <x v="10"/>
    <x v="1"/>
    <n v="39.799999999999997"/>
    <n v="79.599999999999994"/>
    <x v="53"/>
    <d v="2025-02-26T00:00:00"/>
    <s v="M"/>
    <x v="3"/>
    <x v="1"/>
    <x v="0"/>
    <x v="13"/>
    <x v="2"/>
    <n v="9"/>
    <x v="1"/>
  </r>
  <r>
    <s v="TX501448"/>
    <x v="6"/>
    <x v="9"/>
    <n v="61"/>
    <n v="305"/>
    <x v="53"/>
    <d v="2025-02-24T00:00:00"/>
    <s v=""/>
    <x v="0"/>
    <x v="2"/>
    <x v="0"/>
    <x v="21"/>
    <x v="3"/>
    <n v="9"/>
    <x v="0"/>
  </r>
  <r>
    <s v="TX501449"/>
    <x v="8"/>
    <x v="5"/>
    <n v="15.1"/>
    <n v="166.1"/>
    <x v="54"/>
    <d v="2025-03-01T00:00:00"/>
    <s v="M"/>
    <x v="3"/>
    <x v="2"/>
    <x v="0"/>
    <x v="2"/>
    <x v="0"/>
    <n v="9"/>
    <x v="1"/>
  </r>
  <r>
    <s v="TX501450"/>
    <x v="1"/>
    <x v="3"/>
    <n v="71.3"/>
    <n v="499.09999999999997"/>
    <x v="54"/>
    <d v="2025-02-25T00:00:00"/>
    <s v="M"/>
    <x v="4"/>
    <x v="0"/>
    <x v="0"/>
    <x v="3"/>
    <x v="3"/>
    <n v="9"/>
    <x v="1"/>
  </r>
  <r>
    <s v="TX501451"/>
    <x v="10"/>
    <x v="0"/>
    <n v="25.8"/>
    <n v="25.8"/>
    <x v="54"/>
    <d v="2025-02-26T00:00:00"/>
    <s v="F"/>
    <x v="0"/>
    <x v="2"/>
    <x v="0"/>
    <x v="3"/>
    <x v="1"/>
    <n v="9"/>
    <x v="2"/>
  </r>
  <r>
    <s v="TX501452"/>
    <x v="8"/>
    <x v="9"/>
    <n v="39.6"/>
    <n v="198"/>
    <x v="54"/>
    <d v="2025-02-26T00:00:00"/>
    <s v="M"/>
    <x v="1"/>
    <x v="2"/>
    <x v="0"/>
    <x v="3"/>
    <x v="1"/>
    <n v="9"/>
    <x v="1"/>
  </r>
  <r>
    <s v="TX501453"/>
    <x v="5"/>
    <x v="1"/>
    <n v="64"/>
    <n v="128"/>
    <x v="54"/>
    <d v="2025-02-24T00:00:00"/>
    <s v="M"/>
    <x v="1"/>
    <x v="1"/>
    <x v="0"/>
    <x v="3"/>
    <x v="7"/>
    <n v="9"/>
    <x v="1"/>
  </r>
  <r>
    <s v="TX501454"/>
    <x v="8"/>
    <x v="1"/>
    <n v="30.6"/>
    <n v="61.2"/>
    <x v="54"/>
    <d v="2025-02-27T00:00:00"/>
    <s v="M"/>
    <x v="0"/>
    <x v="2"/>
    <x v="0"/>
    <x v="3"/>
    <x v="2"/>
    <n v="9"/>
    <x v="1"/>
  </r>
  <r>
    <s v="TX501455"/>
    <x v="8"/>
    <x v="1"/>
    <n v="21.3"/>
    <n v="42.6"/>
    <x v="54"/>
    <d v="2025-02-25T00:00:00"/>
    <s v="M"/>
    <x v="0"/>
    <x v="1"/>
    <x v="0"/>
    <x v="3"/>
    <x v="3"/>
    <n v="9"/>
    <x v="1"/>
  </r>
  <r>
    <s v="TX501456"/>
    <x v="7"/>
    <x v="0"/>
    <n v="40.799999999999997"/>
    <n v="40.799999999999997"/>
    <x v="54"/>
    <d v="2025-02-26T00:00:00"/>
    <s v="F"/>
    <x v="4"/>
    <x v="0"/>
    <x v="0"/>
    <x v="3"/>
    <x v="1"/>
    <n v="9"/>
    <x v="2"/>
  </r>
  <r>
    <s v="TX501457"/>
    <x v="9"/>
    <x v="12"/>
    <n v="27.7"/>
    <n v="110.8"/>
    <x v="54"/>
    <d v="2025-02-25T00:00:00"/>
    <s v="F"/>
    <x v="0"/>
    <x v="1"/>
    <x v="0"/>
    <x v="3"/>
    <x v="3"/>
    <n v="9"/>
    <x v="2"/>
  </r>
  <r>
    <s v="TX501458"/>
    <x v="6"/>
    <x v="1"/>
    <n v="64.599999999999994"/>
    <n v="129.19999999999999"/>
    <x v="54"/>
    <d v="2025-02-25T00:00:00"/>
    <s v="M"/>
    <x v="0"/>
    <x v="1"/>
    <x v="0"/>
    <x v="3"/>
    <x v="3"/>
    <n v="9"/>
    <x v="1"/>
  </r>
  <r>
    <s v="TX501459"/>
    <x v="6"/>
    <x v="27"/>
    <n v="91.1"/>
    <n v="1457.6"/>
    <x v="54"/>
    <d v="2025-02-25T00:00:00"/>
    <s v="F"/>
    <x v="1"/>
    <x v="2"/>
    <x v="0"/>
    <x v="3"/>
    <x v="3"/>
    <n v="9"/>
    <x v="2"/>
  </r>
  <r>
    <s v="TX501460"/>
    <x v="1"/>
    <x v="0"/>
    <n v="39.5"/>
    <n v="39.5"/>
    <x v="54"/>
    <d v="2025-03-04T00:00:00"/>
    <s v="F"/>
    <x v="0"/>
    <x v="0"/>
    <x v="0"/>
    <x v="3"/>
    <x v="9"/>
    <n v="9"/>
    <x v="2"/>
  </r>
  <r>
    <s v="TX501461"/>
    <x v="9"/>
    <x v="1"/>
    <n v="21.8"/>
    <n v="43.6"/>
    <x v="54"/>
    <d v="2025-02-28T00:00:00"/>
    <s v="M"/>
    <x v="4"/>
    <x v="2"/>
    <x v="0"/>
    <x v="3"/>
    <x v="5"/>
    <n v="9"/>
    <x v="1"/>
  </r>
  <r>
    <s v="TX501462"/>
    <x v="8"/>
    <x v="1"/>
    <n v="51"/>
    <n v="102"/>
    <x v="54"/>
    <d v="2025-02-27T00:00:00"/>
    <s v="M"/>
    <x v="3"/>
    <x v="2"/>
    <x v="0"/>
    <x v="3"/>
    <x v="2"/>
    <n v="9"/>
    <x v="1"/>
  </r>
  <r>
    <s v="TX501463"/>
    <x v="2"/>
    <x v="0"/>
    <n v="92.6"/>
    <n v="92.6"/>
    <x v="54"/>
    <d v="2025-02-27T00:00:00"/>
    <s v="F"/>
    <x v="0"/>
    <x v="2"/>
    <x v="0"/>
    <x v="35"/>
    <x v="2"/>
    <n v="9"/>
    <x v="2"/>
  </r>
  <r>
    <s v="TX501464"/>
    <x v="9"/>
    <x v="1"/>
    <n v="31.1"/>
    <n v="62.2"/>
    <x v="54"/>
    <d v="2025-03-01T00:00:00"/>
    <s v=""/>
    <x v="1"/>
    <x v="3"/>
    <x v="0"/>
    <x v="23"/>
    <x v="0"/>
    <n v="9"/>
    <x v="0"/>
  </r>
  <r>
    <s v="TX501465"/>
    <x v="5"/>
    <x v="2"/>
    <n v="56.4"/>
    <n v="169.2"/>
    <x v="54"/>
    <d v="2025-02-25T00:00:00"/>
    <s v=""/>
    <x v="1"/>
    <x v="0"/>
    <x v="0"/>
    <x v="6"/>
    <x v="3"/>
    <n v="9"/>
    <x v="0"/>
  </r>
  <r>
    <s v="TX501466"/>
    <x v="9"/>
    <x v="0"/>
    <n v="41.9"/>
    <n v="41.9"/>
    <x v="54"/>
    <d v="2025-02-24T00:00:00"/>
    <s v="M"/>
    <x v="1"/>
    <x v="0"/>
    <x v="0"/>
    <x v="6"/>
    <x v="7"/>
    <n v="9"/>
    <x v="1"/>
  </r>
  <r>
    <s v="TX501467"/>
    <x v="10"/>
    <x v="3"/>
    <n v="45.9"/>
    <n v="321.3"/>
    <x v="54"/>
    <d v="2025-02-25T00:00:00"/>
    <s v="M"/>
    <x v="3"/>
    <x v="2"/>
    <x v="0"/>
    <x v="8"/>
    <x v="3"/>
    <n v="9"/>
    <x v="1"/>
  </r>
  <r>
    <s v="TX501468"/>
    <x v="14"/>
    <x v="11"/>
    <n v="24.4"/>
    <n v="219.6"/>
    <x v="54"/>
    <d v="2025-02-28T00:00:00"/>
    <s v="M"/>
    <x v="3"/>
    <x v="2"/>
    <x v="0"/>
    <x v="8"/>
    <x v="5"/>
    <n v="9"/>
    <x v="1"/>
  </r>
  <r>
    <s v="TX501469"/>
    <x v="8"/>
    <x v="0"/>
    <n v="18.2"/>
    <n v="18.2"/>
    <x v="54"/>
    <d v="2025-02-25T00:00:00"/>
    <s v="F"/>
    <x v="2"/>
    <x v="2"/>
    <x v="0"/>
    <x v="8"/>
    <x v="3"/>
    <n v="9"/>
    <x v="2"/>
  </r>
  <r>
    <s v="TX501470"/>
    <x v="8"/>
    <x v="12"/>
    <n v="51.2"/>
    <n v="204.8"/>
    <x v="54"/>
    <d v="2025-02-25T00:00:00"/>
    <s v="F"/>
    <x v="0"/>
    <x v="0"/>
    <x v="0"/>
    <x v="8"/>
    <x v="3"/>
    <n v="9"/>
    <x v="2"/>
  </r>
  <r>
    <s v="TX501471"/>
    <x v="6"/>
    <x v="0"/>
    <n v="59.7"/>
    <n v="59.7"/>
    <x v="54"/>
    <d v="2025-02-27T00:00:00"/>
    <s v="M"/>
    <x v="0"/>
    <x v="2"/>
    <x v="0"/>
    <x v="8"/>
    <x v="2"/>
    <n v="9"/>
    <x v="1"/>
  </r>
  <r>
    <s v="TX501472"/>
    <x v="4"/>
    <x v="1"/>
    <n v="33.6"/>
    <n v="67.2"/>
    <x v="54"/>
    <d v="2025-02-26T00:00:00"/>
    <s v="F"/>
    <x v="0"/>
    <x v="0"/>
    <x v="0"/>
    <x v="17"/>
    <x v="1"/>
    <n v="9"/>
    <x v="2"/>
  </r>
  <r>
    <s v="TX501473"/>
    <x v="12"/>
    <x v="0"/>
    <n v="90.4"/>
    <n v="90.4"/>
    <x v="54"/>
    <d v="2025-02-28T00:00:00"/>
    <s v="M"/>
    <x v="1"/>
    <x v="2"/>
    <x v="0"/>
    <x v="10"/>
    <x v="5"/>
    <n v="9"/>
    <x v="1"/>
  </r>
  <r>
    <s v="TX501474"/>
    <x v="11"/>
    <x v="2"/>
    <n v="70.3"/>
    <n v="210.89999999999998"/>
    <x v="54"/>
    <d v="2025-02-24T00:00:00"/>
    <s v="M"/>
    <x v="1"/>
    <x v="2"/>
    <x v="0"/>
    <x v="11"/>
    <x v="7"/>
    <n v="9"/>
    <x v="1"/>
  </r>
  <r>
    <s v="TX501475"/>
    <x v="4"/>
    <x v="1"/>
    <n v="20.5"/>
    <n v="41"/>
    <x v="54"/>
    <d v="2025-02-27T00:00:00"/>
    <s v="F"/>
    <x v="0"/>
    <x v="1"/>
    <x v="0"/>
    <x v="11"/>
    <x v="2"/>
    <n v="9"/>
    <x v="2"/>
  </r>
  <r>
    <s v="TX501476"/>
    <x v="5"/>
    <x v="5"/>
    <n v="37.6"/>
    <n v="413.6"/>
    <x v="54"/>
    <d v="2025-02-25T00:00:00"/>
    <s v="M"/>
    <x v="0"/>
    <x v="0"/>
    <x v="0"/>
    <x v="38"/>
    <x v="3"/>
    <n v="9"/>
    <x v="1"/>
  </r>
  <r>
    <s v="TX501477"/>
    <x v="5"/>
    <x v="12"/>
    <n v="61.5"/>
    <n v="246"/>
    <x v="54"/>
    <d v="2025-03-03T00:00:00"/>
    <s v="F"/>
    <x v="1"/>
    <x v="4"/>
    <x v="0"/>
    <x v="13"/>
    <x v="6"/>
    <n v="9"/>
    <x v="2"/>
  </r>
  <r>
    <s v="TX501478"/>
    <x v="9"/>
    <x v="0"/>
    <n v="33.5"/>
    <n v="33.5"/>
    <x v="55"/>
    <d v="2025-03-01T00:00:00"/>
    <s v="M"/>
    <x v="4"/>
    <x v="1"/>
    <x v="0"/>
    <x v="21"/>
    <x v="5"/>
    <n v="9"/>
    <x v="1"/>
  </r>
  <r>
    <s v="TX501479"/>
    <x v="4"/>
    <x v="2"/>
    <n v="29.3"/>
    <n v="87.9"/>
    <x v="55"/>
    <d v="2025-02-27T00:00:00"/>
    <s v="F"/>
    <x v="1"/>
    <x v="2"/>
    <x v="0"/>
    <x v="1"/>
    <x v="1"/>
    <n v="9"/>
    <x v="2"/>
  </r>
  <r>
    <s v="TX501480"/>
    <x v="2"/>
    <x v="1"/>
    <n v="125.9"/>
    <n v="251.8"/>
    <x v="55"/>
    <d v="2025-03-02T00:00:00"/>
    <s v="F"/>
    <x v="4"/>
    <x v="1"/>
    <x v="0"/>
    <x v="1"/>
    <x v="0"/>
    <n v="9"/>
    <x v="2"/>
  </r>
  <r>
    <s v="TX501481"/>
    <x v="5"/>
    <x v="9"/>
    <n v="29.3"/>
    <n v="146.5"/>
    <x v="55"/>
    <d v="2025-02-25T00:00:00"/>
    <s v="M"/>
    <x v="2"/>
    <x v="0"/>
    <x v="0"/>
    <x v="44"/>
    <x v="7"/>
    <n v="9"/>
    <x v="1"/>
  </r>
  <r>
    <s v="TX501482"/>
    <x v="9"/>
    <x v="0"/>
    <n v="37.799999999999997"/>
    <n v="37.799999999999997"/>
    <x v="55"/>
    <d v="2025-02-28T00:00:00"/>
    <s v="F"/>
    <x v="0"/>
    <x v="2"/>
    <x v="0"/>
    <x v="3"/>
    <x v="2"/>
    <n v="9"/>
    <x v="2"/>
  </r>
  <r>
    <s v="TX501483"/>
    <x v="0"/>
    <x v="12"/>
    <n v="31.7"/>
    <n v="126.8"/>
    <x v="55"/>
    <d v="2025-02-26T00:00:00"/>
    <s v="M"/>
    <x v="2"/>
    <x v="2"/>
    <x v="0"/>
    <x v="3"/>
    <x v="3"/>
    <n v="9"/>
    <x v="1"/>
  </r>
  <r>
    <s v="TX501484"/>
    <x v="8"/>
    <x v="9"/>
    <n v="26.3"/>
    <n v="131.5"/>
    <x v="55"/>
    <d v="2025-02-26T00:00:00"/>
    <s v="F"/>
    <x v="3"/>
    <x v="2"/>
    <x v="0"/>
    <x v="3"/>
    <x v="3"/>
    <n v="9"/>
    <x v="2"/>
  </r>
  <r>
    <s v="TX501485"/>
    <x v="8"/>
    <x v="2"/>
    <n v="23.1"/>
    <n v="69.300000000000011"/>
    <x v="55"/>
    <d v="2025-02-26T00:00:00"/>
    <s v="O"/>
    <x v="2"/>
    <x v="1"/>
    <x v="0"/>
    <x v="3"/>
    <x v="3"/>
    <n v="9"/>
    <x v="3"/>
  </r>
  <r>
    <s v="TX501486"/>
    <x v="4"/>
    <x v="0"/>
    <n v="22.3"/>
    <n v="22.3"/>
    <x v="55"/>
    <d v="2025-02-27T00:00:00"/>
    <s v="F"/>
    <x v="2"/>
    <x v="0"/>
    <x v="0"/>
    <x v="3"/>
    <x v="1"/>
    <n v="9"/>
    <x v="2"/>
  </r>
  <r>
    <s v="TX501487"/>
    <x v="12"/>
    <x v="1"/>
    <n v="99.5"/>
    <n v="199"/>
    <x v="55"/>
    <d v="2025-02-27T00:00:00"/>
    <s v="F"/>
    <x v="2"/>
    <x v="0"/>
    <x v="0"/>
    <x v="3"/>
    <x v="1"/>
    <n v="9"/>
    <x v="2"/>
  </r>
  <r>
    <s v="TX501488"/>
    <x v="12"/>
    <x v="12"/>
    <n v="47.4"/>
    <n v="189.6"/>
    <x v="55"/>
    <d v="2025-02-28T00:00:00"/>
    <s v="F"/>
    <x v="1"/>
    <x v="0"/>
    <x v="0"/>
    <x v="3"/>
    <x v="2"/>
    <n v="9"/>
    <x v="2"/>
  </r>
  <r>
    <s v="TX501489"/>
    <x v="0"/>
    <x v="5"/>
    <n v="37.5"/>
    <n v="412.5"/>
    <x v="55"/>
    <d v="2025-02-27T00:00:00"/>
    <s v="F"/>
    <x v="0"/>
    <x v="3"/>
    <x v="0"/>
    <x v="3"/>
    <x v="1"/>
    <n v="9"/>
    <x v="2"/>
  </r>
  <r>
    <s v="TX501490"/>
    <x v="10"/>
    <x v="0"/>
    <n v="45.1"/>
    <n v="45.1"/>
    <x v="55"/>
    <d v="2025-03-02T00:00:00"/>
    <s v="M"/>
    <x v="3"/>
    <x v="2"/>
    <x v="0"/>
    <x v="24"/>
    <x v="0"/>
    <n v="9"/>
    <x v="1"/>
  </r>
  <r>
    <s v="TX501491"/>
    <x v="5"/>
    <x v="7"/>
    <n v="34.4"/>
    <n v="344"/>
    <x v="55"/>
    <d v="2025-02-28T00:00:00"/>
    <s v="M"/>
    <x v="2"/>
    <x v="0"/>
    <x v="0"/>
    <x v="16"/>
    <x v="2"/>
    <n v="9"/>
    <x v="1"/>
  </r>
  <r>
    <s v="TX501492"/>
    <x v="4"/>
    <x v="1"/>
    <n v="38"/>
    <n v="76"/>
    <x v="55"/>
    <d v="2025-02-27T00:00:00"/>
    <s v="F"/>
    <x v="1"/>
    <x v="0"/>
    <x v="0"/>
    <x v="5"/>
    <x v="1"/>
    <n v="9"/>
    <x v="2"/>
  </r>
  <r>
    <s v="TX501493"/>
    <x v="3"/>
    <x v="21"/>
    <n v="32.4"/>
    <n v="453.59999999999997"/>
    <x v="55"/>
    <d v="2025-02-28T00:00:00"/>
    <s v="M"/>
    <x v="4"/>
    <x v="0"/>
    <x v="0"/>
    <x v="6"/>
    <x v="2"/>
    <n v="9"/>
    <x v="1"/>
  </r>
  <r>
    <s v="TX501494"/>
    <x v="6"/>
    <x v="2"/>
    <n v="40.9"/>
    <n v="122.69999999999999"/>
    <x v="55"/>
    <d v="2025-02-25T00:00:00"/>
    <s v=""/>
    <x v="1"/>
    <x v="0"/>
    <x v="0"/>
    <x v="8"/>
    <x v="7"/>
    <n v="9"/>
    <x v="0"/>
  </r>
  <r>
    <s v="TX501495"/>
    <x v="7"/>
    <x v="3"/>
    <n v="76.2"/>
    <n v="533.4"/>
    <x v="55"/>
    <d v="2025-02-27T00:00:00"/>
    <s v="F"/>
    <x v="2"/>
    <x v="1"/>
    <x v="0"/>
    <x v="8"/>
    <x v="1"/>
    <n v="9"/>
    <x v="2"/>
  </r>
  <r>
    <s v="TX501496"/>
    <x v="2"/>
    <x v="0"/>
    <n v="85.6"/>
    <n v="85.6"/>
    <x v="55"/>
    <d v="2025-02-27T00:00:00"/>
    <s v="M"/>
    <x v="2"/>
    <x v="0"/>
    <x v="0"/>
    <x v="8"/>
    <x v="1"/>
    <n v="9"/>
    <x v="1"/>
  </r>
  <r>
    <s v="TX501497"/>
    <x v="4"/>
    <x v="12"/>
    <n v="25"/>
    <n v="100"/>
    <x v="55"/>
    <d v="2025-02-27T00:00:00"/>
    <s v="F"/>
    <x v="2"/>
    <x v="2"/>
    <x v="0"/>
    <x v="8"/>
    <x v="1"/>
    <n v="9"/>
    <x v="2"/>
  </r>
  <r>
    <s v="TX501498"/>
    <x v="2"/>
    <x v="9"/>
    <n v="150.69999999999999"/>
    <n v="753.5"/>
    <x v="55"/>
    <d v="2025-02-26T00:00:00"/>
    <s v=""/>
    <x v="0"/>
    <x v="2"/>
    <x v="0"/>
    <x v="8"/>
    <x v="3"/>
    <n v="9"/>
    <x v="0"/>
  </r>
  <r>
    <s v="TX501499"/>
    <x v="8"/>
    <x v="0"/>
    <n v="19.600000000000001"/>
    <n v="19.600000000000001"/>
    <x v="55"/>
    <d v="2025-02-26T00:00:00"/>
    <s v="M"/>
    <x v="1"/>
    <x v="4"/>
    <x v="0"/>
    <x v="8"/>
    <x v="3"/>
    <n v="9"/>
    <x v="1"/>
  </r>
  <r>
    <s v="TX501500"/>
    <x v="13"/>
    <x v="1"/>
    <n v="37.5"/>
    <n v="75"/>
    <x v="55"/>
    <d v="2025-02-28T00:00:00"/>
    <s v="F"/>
    <x v="1"/>
    <x v="2"/>
    <x v="0"/>
    <x v="17"/>
    <x v="2"/>
    <n v="9"/>
    <x v="2"/>
  </r>
  <r>
    <s v="TX501501"/>
    <x v="9"/>
    <x v="2"/>
    <n v="51.9"/>
    <n v="155.69999999999999"/>
    <x v="55"/>
    <d v="2025-03-03T00:00:00"/>
    <s v="F"/>
    <x v="0"/>
    <x v="4"/>
    <x v="0"/>
    <x v="11"/>
    <x v="4"/>
    <n v="9"/>
    <x v="2"/>
  </r>
  <r>
    <s v="TX501502"/>
    <x v="1"/>
    <x v="1"/>
    <n v="30.9"/>
    <n v="61.8"/>
    <x v="55"/>
    <d v="2025-02-27T00:00:00"/>
    <s v="F"/>
    <x v="1"/>
    <x v="0"/>
    <x v="0"/>
    <x v="18"/>
    <x v="1"/>
    <n v="9"/>
    <x v="2"/>
  </r>
  <r>
    <s v="TX501503"/>
    <x v="4"/>
    <x v="2"/>
    <n v="21.2"/>
    <n v="63.599999999999994"/>
    <x v="55"/>
    <d v="2025-02-28T00:00:00"/>
    <s v="F"/>
    <x v="1"/>
    <x v="0"/>
    <x v="0"/>
    <x v="19"/>
    <x v="2"/>
    <n v="9"/>
    <x v="2"/>
  </r>
  <r>
    <s v="TX501504"/>
    <x v="13"/>
    <x v="14"/>
    <n v="17.5"/>
    <n v="297.5"/>
    <x v="55"/>
    <d v="2025-02-26T00:00:00"/>
    <s v="M"/>
    <x v="1"/>
    <x v="1"/>
    <x v="0"/>
    <x v="13"/>
    <x v="3"/>
    <n v="9"/>
    <x v="1"/>
  </r>
  <r>
    <s v="TX501505"/>
    <x v="12"/>
    <x v="1"/>
    <n v="53.8"/>
    <n v="107.6"/>
    <x v="55"/>
    <d v="2025-03-02T00:00:00"/>
    <s v="F"/>
    <x v="0"/>
    <x v="2"/>
    <x v="0"/>
    <x v="21"/>
    <x v="0"/>
    <n v="9"/>
    <x v="2"/>
  </r>
  <r>
    <s v="TX501506"/>
    <x v="19"/>
    <x v="1"/>
    <n v="17"/>
    <n v="34"/>
    <x v="55"/>
    <d v="2025-02-26T00:00:00"/>
    <s v="M"/>
    <x v="3"/>
    <x v="0"/>
    <x v="0"/>
    <x v="21"/>
    <x v="3"/>
    <n v="9"/>
    <x v="1"/>
  </r>
  <r>
    <s v="TX501507"/>
    <x v="6"/>
    <x v="0"/>
    <n v="103.2"/>
    <n v="103.2"/>
    <x v="55"/>
    <d v="2025-03-05T00:00:00"/>
    <s v="M"/>
    <x v="2"/>
    <x v="1"/>
    <x v="0"/>
    <x v="1"/>
    <x v="9"/>
    <n v="9"/>
    <x v="1"/>
  </r>
  <r>
    <s v="TX501508"/>
    <x v="6"/>
    <x v="12"/>
    <n v="70.3"/>
    <n v="281.2"/>
    <x v="55"/>
    <d v="2025-02-26T00:00:00"/>
    <s v="M"/>
    <x v="0"/>
    <x v="0"/>
    <x v="0"/>
    <x v="3"/>
    <x v="3"/>
    <n v="9"/>
    <x v="1"/>
  </r>
  <r>
    <s v="TX501509"/>
    <x v="2"/>
    <x v="1"/>
    <n v="73.8"/>
    <n v="147.6"/>
    <x v="55"/>
    <d v="2025-02-25T00:00:00"/>
    <s v="M"/>
    <x v="3"/>
    <x v="2"/>
    <x v="0"/>
    <x v="3"/>
    <x v="7"/>
    <n v="9"/>
    <x v="1"/>
  </r>
  <r>
    <s v="TX501510"/>
    <x v="1"/>
    <x v="4"/>
    <n v="67.7"/>
    <n v="812.40000000000009"/>
    <x v="55"/>
    <d v="2025-03-01T00:00:00"/>
    <s v="M"/>
    <x v="1"/>
    <x v="1"/>
    <x v="0"/>
    <x v="3"/>
    <x v="5"/>
    <n v="9"/>
    <x v="1"/>
  </r>
  <r>
    <s v="TX501511"/>
    <x v="13"/>
    <x v="3"/>
    <n v="43.8"/>
    <n v="306.59999999999997"/>
    <x v="55"/>
    <d v="2025-02-27T00:00:00"/>
    <s v="M"/>
    <x v="1"/>
    <x v="0"/>
    <x v="0"/>
    <x v="3"/>
    <x v="1"/>
    <n v="9"/>
    <x v="1"/>
  </r>
  <r>
    <s v="TX501512"/>
    <x v="17"/>
    <x v="13"/>
    <n v="71.900000000000006"/>
    <n v="431.40000000000003"/>
    <x v="55"/>
    <d v="2025-02-26T00:00:00"/>
    <s v="F"/>
    <x v="2"/>
    <x v="0"/>
    <x v="0"/>
    <x v="3"/>
    <x v="3"/>
    <n v="9"/>
    <x v="2"/>
  </r>
  <r>
    <s v="TX501513"/>
    <x v="8"/>
    <x v="1"/>
    <n v="26.3"/>
    <n v="52.6"/>
    <x v="56"/>
    <d v="2025-02-28T00:00:00"/>
    <s v="F"/>
    <x v="0"/>
    <x v="1"/>
    <x v="0"/>
    <x v="3"/>
    <x v="1"/>
    <n v="9"/>
    <x v="2"/>
  </r>
  <r>
    <s v="TX501514"/>
    <x v="6"/>
    <x v="12"/>
    <n v="52.6"/>
    <n v="210.4"/>
    <x v="56"/>
    <d v="2025-02-28T00:00:00"/>
    <s v="F"/>
    <x v="2"/>
    <x v="1"/>
    <x v="0"/>
    <x v="3"/>
    <x v="1"/>
    <n v="9"/>
    <x v="2"/>
  </r>
  <r>
    <s v="TX501515"/>
    <x v="10"/>
    <x v="0"/>
    <n v="32.700000000000003"/>
    <n v="32.700000000000003"/>
    <x v="56"/>
    <d v="2025-03-05T00:00:00"/>
    <s v="F"/>
    <x v="0"/>
    <x v="2"/>
    <x v="0"/>
    <x v="3"/>
    <x v="6"/>
    <n v="9"/>
    <x v="2"/>
  </r>
  <r>
    <s v="TX501516"/>
    <x v="5"/>
    <x v="12"/>
    <n v="38.9"/>
    <n v="155.6"/>
    <x v="56"/>
    <d v="2025-02-27T00:00:00"/>
    <s v="F"/>
    <x v="0"/>
    <x v="0"/>
    <x v="0"/>
    <x v="3"/>
    <x v="3"/>
    <n v="9"/>
    <x v="2"/>
  </r>
  <r>
    <s v="TX501517"/>
    <x v="9"/>
    <x v="9"/>
    <n v="35"/>
    <n v="175"/>
    <x v="56"/>
    <d v="2025-02-28T00:00:00"/>
    <s v="M"/>
    <x v="0"/>
    <x v="0"/>
    <x v="0"/>
    <x v="3"/>
    <x v="1"/>
    <n v="9"/>
    <x v="1"/>
  </r>
  <r>
    <s v="TX501518"/>
    <x v="2"/>
    <x v="1"/>
    <n v="121"/>
    <n v="242"/>
    <x v="56"/>
    <d v="2025-02-27T00:00:00"/>
    <s v="F"/>
    <x v="1"/>
    <x v="1"/>
    <x v="0"/>
    <x v="3"/>
    <x v="3"/>
    <n v="9"/>
    <x v="2"/>
  </r>
  <r>
    <s v="TX501519"/>
    <x v="6"/>
    <x v="2"/>
    <n v="65.099999999999994"/>
    <n v="195.29999999999998"/>
    <x v="56"/>
    <d v="2025-03-02T00:00:00"/>
    <s v="M"/>
    <x v="2"/>
    <x v="0"/>
    <x v="0"/>
    <x v="36"/>
    <x v="5"/>
    <n v="9"/>
    <x v="1"/>
  </r>
  <r>
    <s v="TX501520"/>
    <x v="1"/>
    <x v="38"/>
    <n v="63.8"/>
    <n v="1339.8"/>
    <x v="56"/>
    <d v="2025-02-28T00:00:00"/>
    <s v="F"/>
    <x v="0"/>
    <x v="0"/>
    <x v="0"/>
    <x v="8"/>
    <x v="1"/>
    <n v="9"/>
    <x v="2"/>
  </r>
  <r>
    <s v="TX501521"/>
    <x v="7"/>
    <x v="0"/>
    <n v="77.7"/>
    <n v="77.7"/>
    <x v="56"/>
    <d v="2025-02-28T00:00:00"/>
    <s v="M"/>
    <x v="0"/>
    <x v="0"/>
    <x v="0"/>
    <x v="8"/>
    <x v="1"/>
    <n v="9"/>
    <x v="1"/>
  </r>
  <r>
    <s v="TX501522"/>
    <x v="5"/>
    <x v="12"/>
    <n v="60.3"/>
    <n v="241.2"/>
    <x v="56"/>
    <d v="2025-02-26T00:00:00"/>
    <s v="M"/>
    <x v="0"/>
    <x v="2"/>
    <x v="0"/>
    <x v="8"/>
    <x v="7"/>
    <n v="9"/>
    <x v="1"/>
  </r>
  <r>
    <s v="TX501523"/>
    <x v="5"/>
    <x v="1"/>
    <n v="124.1"/>
    <n v="248.2"/>
    <x v="56"/>
    <d v="2025-03-01T00:00:00"/>
    <s v="F"/>
    <x v="0"/>
    <x v="2"/>
    <x v="0"/>
    <x v="8"/>
    <x v="2"/>
    <n v="9"/>
    <x v="2"/>
  </r>
  <r>
    <s v="TX501524"/>
    <x v="16"/>
    <x v="3"/>
    <n v="66"/>
    <n v="462"/>
    <x v="56"/>
    <d v="2025-02-26T00:00:00"/>
    <s v=""/>
    <x v="3"/>
    <x v="0"/>
    <x v="0"/>
    <x v="17"/>
    <x v="7"/>
    <n v="9"/>
    <x v="0"/>
  </r>
  <r>
    <s v="TX501525"/>
    <x v="2"/>
    <x v="42"/>
    <n v="118.2"/>
    <n v="7446.6"/>
    <x v="56"/>
    <d v="2025-03-03T00:00:00"/>
    <s v=""/>
    <x v="0"/>
    <x v="0"/>
    <x v="0"/>
    <x v="17"/>
    <x v="0"/>
    <n v="9"/>
    <x v="0"/>
  </r>
  <r>
    <s v="TX501526"/>
    <x v="5"/>
    <x v="9"/>
    <n v="64.3"/>
    <n v="321.5"/>
    <x v="56"/>
    <d v="2025-02-27T00:00:00"/>
    <s v="M"/>
    <x v="4"/>
    <x v="4"/>
    <x v="0"/>
    <x v="26"/>
    <x v="3"/>
    <n v="9"/>
    <x v="1"/>
  </r>
  <r>
    <s v="TX501527"/>
    <x v="1"/>
    <x v="1"/>
    <n v="54.8"/>
    <n v="109.6"/>
    <x v="56"/>
    <d v="2025-02-26T00:00:00"/>
    <s v="M"/>
    <x v="0"/>
    <x v="1"/>
    <x v="0"/>
    <x v="26"/>
    <x v="7"/>
    <n v="9"/>
    <x v="1"/>
  </r>
  <r>
    <s v="TX501528"/>
    <x v="7"/>
    <x v="1"/>
    <n v="78.599999999999994"/>
    <n v="157.19999999999999"/>
    <x v="56"/>
    <d v="2025-02-27T00:00:00"/>
    <s v="M"/>
    <x v="0"/>
    <x v="2"/>
    <x v="0"/>
    <x v="9"/>
    <x v="3"/>
    <n v="9"/>
    <x v="1"/>
  </r>
  <r>
    <s v="TX501529"/>
    <x v="2"/>
    <x v="9"/>
    <n v="158.5"/>
    <n v="792.5"/>
    <x v="56"/>
    <d v="2025-02-28T00:00:00"/>
    <s v=""/>
    <x v="2"/>
    <x v="2"/>
    <x v="0"/>
    <x v="9"/>
    <x v="1"/>
    <n v="9"/>
    <x v="0"/>
  </r>
  <r>
    <s v="TX501530"/>
    <x v="4"/>
    <x v="7"/>
    <n v="23.5"/>
    <n v="235"/>
    <x v="56"/>
    <d v="2025-03-01T00:00:00"/>
    <s v="M"/>
    <x v="0"/>
    <x v="4"/>
    <x v="0"/>
    <x v="10"/>
    <x v="2"/>
    <n v="9"/>
    <x v="1"/>
  </r>
  <r>
    <s v="TX501531"/>
    <x v="5"/>
    <x v="1"/>
    <n v="32.1"/>
    <n v="64.2"/>
    <x v="56"/>
    <d v="2025-02-28T00:00:00"/>
    <s v=""/>
    <x v="3"/>
    <x v="0"/>
    <x v="0"/>
    <x v="10"/>
    <x v="1"/>
    <n v="9"/>
    <x v="0"/>
  </r>
  <r>
    <s v="TX501532"/>
    <x v="17"/>
    <x v="12"/>
    <n v="71.900000000000006"/>
    <n v="287.60000000000002"/>
    <x v="56"/>
    <d v="2025-02-26T00:00:00"/>
    <s v="M"/>
    <x v="2"/>
    <x v="0"/>
    <x v="0"/>
    <x v="19"/>
    <x v="7"/>
    <n v="9"/>
    <x v="1"/>
  </r>
  <r>
    <s v="TX501533"/>
    <x v="4"/>
    <x v="13"/>
    <n v="22.3"/>
    <n v="133.80000000000001"/>
    <x v="56"/>
    <d v="2025-02-27T00:00:00"/>
    <s v=""/>
    <x v="3"/>
    <x v="2"/>
    <x v="0"/>
    <x v="13"/>
    <x v="3"/>
    <n v="9"/>
    <x v="0"/>
  </r>
  <r>
    <s v="TX501534"/>
    <x v="11"/>
    <x v="1"/>
    <n v="29.5"/>
    <n v="59"/>
    <x v="56"/>
    <d v="2025-02-27T00:00:00"/>
    <s v="F"/>
    <x v="0"/>
    <x v="2"/>
    <x v="0"/>
    <x v="13"/>
    <x v="3"/>
    <n v="9"/>
    <x v="2"/>
  </r>
  <r>
    <s v="TX501535"/>
    <x v="6"/>
    <x v="12"/>
    <n v="41.9"/>
    <n v="167.6"/>
    <x v="56"/>
    <d v="2025-03-02T00:00:00"/>
    <s v="F"/>
    <x v="0"/>
    <x v="1"/>
    <x v="0"/>
    <x v="21"/>
    <x v="5"/>
    <n v="9"/>
    <x v="2"/>
  </r>
  <r>
    <s v="TX501536"/>
    <x v="6"/>
    <x v="2"/>
    <n v="107.8"/>
    <n v="323.39999999999998"/>
    <x v="56"/>
    <d v="2025-02-27T00:00:00"/>
    <s v="M"/>
    <x v="1"/>
    <x v="2"/>
    <x v="0"/>
    <x v="46"/>
    <x v="3"/>
    <n v="9"/>
    <x v="1"/>
  </r>
  <r>
    <s v="TX501537"/>
    <x v="4"/>
    <x v="9"/>
    <n v="18.100000000000001"/>
    <n v="90.5"/>
    <x v="56"/>
    <d v="2025-03-01T00:00:00"/>
    <s v="M"/>
    <x v="0"/>
    <x v="2"/>
    <x v="0"/>
    <x v="2"/>
    <x v="2"/>
    <n v="9"/>
    <x v="1"/>
  </r>
  <r>
    <s v="TX501538"/>
    <x v="12"/>
    <x v="11"/>
    <n v="79.8"/>
    <n v="718.19999999999993"/>
    <x v="56"/>
    <d v="2025-02-27T00:00:00"/>
    <s v="F"/>
    <x v="1"/>
    <x v="1"/>
    <x v="0"/>
    <x v="22"/>
    <x v="3"/>
    <n v="9"/>
    <x v="2"/>
  </r>
  <r>
    <s v="TX501539"/>
    <x v="0"/>
    <x v="2"/>
    <n v="22.3"/>
    <n v="66.900000000000006"/>
    <x v="56"/>
    <d v="2025-03-01T00:00:00"/>
    <s v="F"/>
    <x v="0"/>
    <x v="2"/>
    <x v="0"/>
    <x v="22"/>
    <x v="2"/>
    <n v="9"/>
    <x v="2"/>
  </r>
  <r>
    <s v="TX501540"/>
    <x v="8"/>
    <x v="0"/>
    <n v="22.9"/>
    <n v="22.9"/>
    <x v="56"/>
    <d v="2025-02-26T00:00:00"/>
    <s v="F"/>
    <x v="1"/>
    <x v="0"/>
    <x v="0"/>
    <x v="22"/>
    <x v="7"/>
    <n v="9"/>
    <x v="2"/>
  </r>
  <r>
    <s v="TX501541"/>
    <x v="0"/>
    <x v="2"/>
    <n v="16.2"/>
    <n v="48.599999999999994"/>
    <x v="57"/>
    <d v="2025-02-27T00:00:00"/>
    <s v="M"/>
    <x v="4"/>
    <x v="2"/>
    <x v="0"/>
    <x v="3"/>
    <x v="7"/>
    <n v="9"/>
    <x v="1"/>
  </r>
  <r>
    <s v="TX501542"/>
    <x v="10"/>
    <x v="12"/>
    <n v="59.5"/>
    <n v="238"/>
    <x v="57"/>
    <d v="2025-02-28T00:00:00"/>
    <s v="M"/>
    <x v="1"/>
    <x v="2"/>
    <x v="0"/>
    <x v="3"/>
    <x v="3"/>
    <n v="9"/>
    <x v="1"/>
  </r>
  <r>
    <s v="TX501543"/>
    <x v="18"/>
    <x v="9"/>
    <n v="26.2"/>
    <n v="131"/>
    <x v="57"/>
    <d v="2025-03-02T00:00:00"/>
    <s v="M"/>
    <x v="3"/>
    <x v="4"/>
    <x v="0"/>
    <x v="3"/>
    <x v="2"/>
    <n v="9"/>
    <x v="1"/>
  </r>
  <r>
    <s v="TX501544"/>
    <x v="3"/>
    <x v="0"/>
    <n v="44.2"/>
    <n v="44.2"/>
    <x v="57"/>
    <d v="2025-03-02T00:00:00"/>
    <s v="F"/>
    <x v="1"/>
    <x v="0"/>
    <x v="0"/>
    <x v="3"/>
    <x v="2"/>
    <n v="9"/>
    <x v="2"/>
  </r>
  <r>
    <s v="TX501545"/>
    <x v="9"/>
    <x v="1"/>
    <n v="59.2"/>
    <n v="118.4"/>
    <x v="57"/>
    <d v="2025-02-27T00:00:00"/>
    <s v="F"/>
    <x v="1"/>
    <x v="4"/>
    <x v="0"/>
    <x v="3"/>
    <x v="7"/>
    <n v="9"/>
    <x v="2"/>
  </r>
  <r>
    <s v="TX501546"/>
    <x v="15"/>
    <x v="12"/>
    <n v="41.5"/>
    <n v="166"/>
    <x v="57"/>
    <d v="2025-03-01T00:00:00"/>
    <s v="F"/>
    <x v="0"/>
    <x v="0"/>
    <x v="0"/>
    <x v="16"/>
    <x v="1"/>
    <n v="9"/>
    <x v="2"/>
  </r>
  <r>
    <s v="TX501547"/>
    <x v="6"/>
    <x v="4"/>
    <n v="67.099999999999994"/>
    <n v="805.19999999999993"/>
    <x v="57"/>
    <d v="2025-03-13T00:00:00"/>
    <s v="F"/>
    <x v="0"/>
    <x v="2"/>
    <x v="0"/>
    <x v="23"/>
    <x v="12"/>
    <n v="9"/>
    <x v="2"/>
  </r>
  <r>
    <s v="TX501548"/>
    <x v="8"/>
    <x v="1"/>
    <n v="28.7"/>
    <n v="57.4"/>
    <x v="57"/>
    <d v="2025-03-03T00:00:00"/>
    <s v="F"/>
    <x v="1"/>
    <x v="0"/>
    <x v="0"/>
    <x v="6"/>
    <x v="5"/>
    <n v="9"/>
    <x v="2"/>
  </r>
  <r>
    <s v="TX501549"/>
    <x v="2"/>
    <x v="12"/>
    <n v="132.1"/>
    <n v="528.4"/>
    <x v="57"/>
    <d v="2025-02-28T00:00:00"/>
    <s v="F"/>
    <x v="0"/>
    <x v="1"/>
    <x v="0"/>
    <x v="6"/>
    <x v="3"/>
    <n v="9"/>
    <x v="2"/>
  </r>
  <r>
    <s v="TX501550"/>
    <x v="18"/>
    <x v="1"/>
    <n v="47"/>
    <n v="94"/>
    <x v="57"/>
    <d v="2025-03-01T00:00:00"/>
    <s v="M"/>
    <x v="4"/>
    <x v="0"/>
    <x v="0"/>
    <x v="8"/>
    <x v="1"/>
    <n v="9"/>
    <x v="1"/>
  </r>
  <r>
    <s v="TX501551"/>
    <x v="8"/>
    <x v="1"/>
    <n v="41.6"/>
    <n v="83.2"/>
    <x v="57"/>
    <d v="2025-03-03T00:00:00"/>
    <s v="M"/>
    <x v="1"/>
    <x v="2"/>
    <x v="0"/>
    <x v="8"/>
    <x v="5"/>
    <n v="9"/>
    <x v="1"/>
  </r>
  <r>
    <s v="TX501552"/>
    <x v="8"/>
    <x v="43"/>
    <n v="17.3"/>
    <n v="657.4"/>
    <x v="57"/>
    <d v="2025-03-01T00:00:00"/>
    <s v="M"/>
    <x v="2"/>
    <x v="2"/>
    <x v="0"/>
    <x v="8"/>
    <x v="1"/>
    <n v="9"/>
    <x v="1"/>
  </r>
  <r>
    <s v="TX501553"/>
    <x v="13"/>
    <x v="2"/>
    <n v="41.8"/>
    <n v="125.39999999999999"/>
    <x v="57"/>
    <d v="2025-03-02T00:00:00"/>
    <s v="M"/>
    <x v="0"/>
    <x v="2"/>
    <x v="0"/>
    <x v="8"/>
    <x v="2"/>
    <n v="9"/>
    <x v="1"/>
  </r>
  <r>
    <s v="TX501554"/>
    <x v="10"/>
    <x v="0"/>
    <n v="24"/>
    <n v="24"/>
    <x v="57"/>
    <d v="2025-02-28T00:00:00"/>
    <s v="F"/>
    <x v="0"/>
    <x v="0"/>
    <x v="0"/>
    <x v="17"/>
    <x v="3"/>
    <n v="9"/>
    <x v="2"/>
  </r>
  <r>
    <s v="TX501555"/>
    <x v="14"/>
    <x v="11"/>
    <n v="18.5"/>
    <n v="166.5"/>
    <x v="57"/>
    <d v="2025-03-01T00:00:00"/>
    <s v="F"/>
    <x v="0"/>
    <x v="0"/>
    <x v="0"/>
    <x v="9"/>
    <x v="1"/>
    <n v="9"/>
    <x v="2"/>
  </r>
  <r>
    <s v="TX501556"/>
    <x v="3"/>
    <x v="4"/>
    <n v="66.7"/>
    <n v="800.40000000000009"/>
    <x v="57"/>
    <d v="2025-03-02T00:00:00"/>
    <s v=""/>
    <x v="0"/>
    <x v="2"/>
    <x v="0"/>
    <x v="11"/>
    <x v="2"/>
    <n v="9"/>
    <x v="0"/>
  </r>
  <r>
    <s v="TX501557"/>
    <x v="1"/>
    <x v="12"/>
    <n v="33.1"/>
    <n v="132.4"/>
    <x v="57"/>
    <d v="2025-03-04T00:00:00"/>
    <s v="M"/>
    <x v="3"/>
    <x v="0"/>
    <x v="0"/>
    <x v="11"/>
    <x v="0"/>
    <n v="9"/>
    <x v="1"/>
  </r>
  <r>
    <s v="TX501558"/>
    <x v="19"/>
    <x v="11"/>
    <n v="42.1"/>
    <n v="378.90000000000003"/>
    <x v="57"/>
    <d v="2025-03-10T00:00:00"/>
    <s v="M"/>
    <x v="1"/>
    <x v="0"/>
    <x v="0"/>
    <x v="18"/>
    <x v="11"/>
    <n v="9"/>
    <x v="1"/>
  </r>
  <r>
    <s v="TX501559"/>
    <x v="18"/>
    <x v="3"/>
    <n v="58.7"/>
    <n v="410.90000000000003"/>
    <x v="57"/>
    <d v="2025-02-27T00:00:00"/>
    <s v="O"/>
    <x v="3"/>
    <x v="0"/>
    <x v="0"/>
    <x v="31"/>
    <x v="7"/>
    <n v="9"/>
    <x v="3"/>
  </r>
  <r>
    <s v="TX501560"/>
    <x v="6"/>
    <x v="12"/>
    <n v="54"/>
    <n v="216"/>
    <x v="57"/>
    <d v="2025-03-01T00:00:00"/>
    <s v="F"/>
    <x v="1"/>
    <x v="0"/>
    <x v="0"/>
    <x v="1"/>
    <x v="1"/>
    <n v="9"/>
    <x v="2"/>
  </r>
  <r>
    <s v="TX501561"/>
    <x v="8"/>
    <x v="0"/>
    <n v="52.1"/>
    <n v="52.1"/>
    <x v="57"/>
    <d v="2025-02-28T00:00:00"/>
    <s v="F"/>
    <x v="2"/>
    <x v="2"/>
    <x v="0"/>
    <x v="2"/>
    <x v="3"/>
    <n v="9"/>
    <x v="2"/>
  </r>
  <r>
    <s v="TX501562"/>
    <x v="19"/>
    <x v="1"/>
    <n v="27"/>
    <n v="54"/>
    <x v="57"/>
    <d v="2025-03-02T00:00:00"/>
    <s v="O"/>
    <x v="2"/>
    <x v="0"/>
    <x v="0"/>
    <x v="22"/>
    <x v="2"/>
    <n v="9"/>
    <x v="3"/>
  </r>
  <r>
    <s v="TX501563"/>
    <x v="12"/>
    <x v="7"/>
    <n v="31"/>
    <n v="310"/>
    <x v="58"/>
    <d v="2025-03-01T00:00:00"/>
    <s v="F"/>
    <x v="3"/>
    <x v="2"/>
    <x v="0"/>
    <x v="22"/>
    <x v="3"/>
    <n v="9"/>
    <x v="2"/>
  </r>
  <r>
    <s v="TX501564"/>
    <x v="10"/>
    <x v="1"/>
    <n v="46.7"/>
    <n v="93.4"/>
    <x v="58"/>
    <d v="2025-02-28T00:00:00"/>
    <s v="F"/>
    <x v="0"/>
    <x v="0"/>
    <x v="0"/>
    <x v="34"/>
    <x v="7"/>
    <n v="9"/>
    <x v="2"/>
  </r>
  <r>
    <s v="TX501565"/>
    <x v="6"/>
    <x v="0"/>
    <n v="144.69999999999999"/>
    <n v="144.69999999999999"/>
    <x v="58"/>
    <d v="2025-03-03T00:00:00"/>
    <s v="M"/>
    <x v="0"/>
    <x v="2"/>
    <x v="0"/>
    <x v="3"/>
    <x v="2"/>
    <n v="9"/>
    <x v="1"/>
  </r>
  <r>
    <s v="TX501566"/>
    <x v="2"/>
    <x v="11"/>
    <n v="90.9"/>
    <n v="818.1"/>
    <x v="58"/>
    <d v="2025-03-01T00:00:00"/>
    <s v="M"/>
    <x v="0"/>
    <x v="2"/>
    <x v="0"/>
    <x v="3"/>
    <x v="3"/>
    <n v="9"/>
    <x v="1"/>
  </r>
  <r>
    <s v="TX501567"/>
    <x v="1"/>
    <x v="1"/>
    <n v="75.8"/>
    <n v="151.6"/>
    <x v="58"/>
    <d v="2025-03-01T00:00:00"/>
    <s v="F"/>
    <x v="2"/>
    <x v="1"/>
    <x v="0"/>
    <x v="3"/>
    <x v="3"/>
    <n v="9"/>
    <x v="2"/>
  </r>
  <r>
    <s v="TX501568"/>
    <x v="7"/>
    <x v="9"/>
    <n v="57.9"/>
    <n v="289.5"/>
    <x v="58"/>
    <d v="2025-03-02T00:00:00"/>
    <s v="M"/>
    <x v="2"/>
    <x v="2"/>
    <x v="0"/>
    <x v="3"/>
    <x v="1"/>
    <n v="9"/>
    <x v="1"/>
  </r>
  <r>
    <s v="TX501569"/>
    <x v="8"/>
    <x v="9"/>
    <n v="44.8"/>
    <n v="224"/>
    <x v="58"/>
    <d v="2025-03-01T00:00:00"/>
    <s v="F"/>
    <x v="3"/>
    <x v="2"/>
    <x v="0"/>
    <x v="3"/>
    <x v="3"/>
    <n v="9"/>
    <x v="2"/>
  </r>
  <r>
    <s v="TX501570"/>
    <x v="9"/>
    <x v="2"/>
    <n v="44.2"/>
    <n v="132.60000000000002"/>
    <x v="58"/>
    <d v="2025-03-04T00:00:00"/>
    <s v="M"/>
    <x v="2"/>
    <x v="2"/>
    <x v="0"/>
    <x v="3"/>
    <x v="5"/>
    <n v="9"/>
    <x v="1"/>
  </r>
  <r>
    <s v="TX501571"/>
    <x v="5"/>
    <x v="9"/>
    <n v="53.5"/>
    <n v="267.5"/>
    <x v="58"/>
    <d v="2025-03-02T00:00:00"/>
    <s v="M"/>
    <x v="0"/>
    <x v="0"/>
    <x v="0"/>
    <x v="37"/>
    <x v="1"/>
    <n v="9"/>
    <x v="1"/>
  </r>
  <r>
    <s v="TX501572"/>
    <x v="6"/>
    <x v="1"/>
    <n v="72.2"/>
    <n v="144.4"/>
    <x v="58"/>
    <d v="2025-03-01T00:00:00"/>
    <s v="M"/>
    <x v="0"/>
    <x v="2"/>
    <x v="0"/>
    <x v="25"/>
    <x v="3"/>
    <n v="9"/>
    <x v="1"/>
  </r>
  <r>
    <s v="TX501573"/>
    <x v="6"/>
    <x v="12"/>
    <n v="62.4"/>
    <n v="249.6"/>
    <x v="58"/>
    <d v="2025-03-03T00:00:00"/>
    <s v="F"/>
    <x v="0"/>
    <x v="1"/>
    <x v="0"/>
    <x v="23"/>
    <x v="2"/>
    <n v="9"/>
    <x v="2"/>
  </r>
  <r>
    <s v="TX501574"/>
    <x v="10"/>
    <x v="9"/>
    <n v="24.7"/>
    <n v="123.5"/>
    <x v="58"/>
    <d v="2025-03-01T00:00:00"/>
    <s v="F"/>
    <x v="0"/>
    <x v="0"/>
    <x v="0"/>
    <x v="6"/>
    <x v="3"/>
    <n v="9"/>
    <x v="2"/>
  </r>
  <r>
    <s v="TX501575"/>
    <x v="1"/>
    <x v="9"/>
    <n v="61.7"/>
    <n v="308.5"/>
    <x v="58"/>
    <d v="2025-03-02T00:00:00"/>
    <s v="F"/>
    <x v="2"/>
    <x v="0"/>
    <x v="0"/>
    <x v="8"/>
    <x v="1"/>
    <n v="9"/>
    <x v="2"/>
  </r>
  <r>
    <s v="TX501576"/>
    <x v="8"/>
    <x v="9"/>
    <n v="18.2"/>
    <n v="91"/>
    <x v="58"/>
    <d v="2025-03-02T00:00:00"/>
    <s v="F"/>
    <x v="3"/>
    <x v="0"/>
    <x v="0"/>
    <x v="8"/>
    <x v="1"/>
    <n v="9"/>
    <x v="2"/>
  </r>
  <r>
    <s v="TX501577"/>
    <x v="10"/>
    <x v="12"/>
    <n v="37.200000000000003"/>
    <n v="148.80000000000001"/>
    <x v="58"/>
    <d v="2025-03-06T00:00:00"/>
    <s v="F"/>
    <x v="0"/>
    <x v="0"/>
    <x v="0"/>
    <x v="8"/>
    <x v="4"/>
    <n v="9"/>
    <x v="2"/>
  </r>
  <r>
    <s v="TX501578"/>
    <x v="9"/>
    <x v="2"/>
    <n v="53.5"/>
    <n v="160.5"/>
    <x v="58"/>
    <d v="2025-03-02T00:00:00"/>
    <s v="F"/>
    <x v="1"/>
    <x v="2"/>
    <x v="0"/>
    <x v="9"/>
    <x v="1"/>
    <n v="9"/>
    <x v="2"/>
  </r>
  <r>
    <s v="TX501579"/>
    <x v="8"/>
    <x v="2"/>
    <n v="43.6"/>
    <n v="130.80000000000001"/>
    <x v="58"/>
    <d v="2025-02-28T00:00:00"/>
    <s v="F"/>
    <x v="0"/>
    <x v="0"/>
    <x v="0"/>
    <x v="9"/>
    <x v="7"/>
    <n v="9"/>
    <x v="2"/>
  </r>
  <r>
    <s v="TX501580"/>
    <x v="1"/>
    <x v="7"/>
    <n v="135"/>
    <n v="1350"/>
    <x v="58"/>
    <d v="2025-03-02T00:00:00"/>
    <s v="F"/>
    <x v="0"/>
    <x v="2"/>
    <x v="0"/>
    <x v="9"/>
    <x v="1"/>
    <n v="9"/>
    <x v="2"/>
  </r>
  <r>
    <s v="TX501581"/>
    <x v="8"/>
    <x v="9"/>
    <n v="38.5"/>
    <n v="192.5"/>
    <x v="58"/>
    <d v="2025-02-28T00:00:00"/>
    <s v="M"/>
    <x v="4"/>
    <x v="2"/>
    <x v="0"/>
    <x v="10"/>
    <x v="7"/>
    <n v="9"/>
    <x v="1"/>
  </r>
  <r>
    <s v="TX501582"/>
    <x v="9"/>
    <x v="1"/>
    <n v="24"/>
    <n v="48"/>
    <x v="58"/>
    <d v="2025-03-05T00:00:00"/>
    <s v="F"/>
    <x v="0"/>
    <x v="0"/>
    <x v="0"/>
    <x v="11"/>
    <x v="0"/>
    <n v="9"/>
    <x v="2"/>
  </r>
  <r>
    <s v="TX501583"/>
    <x v="4"/>
    <x v="2"/>
    <n v="28.2"/>
    <n v="84.6"/>
    <x v="58"/>
    <d v="2025-03-02T00:00:00"/>
    <s v="M"/>
    <x v="0"/>
    <x v="3"/>
    <x v="0"/>
    <x v="18"/>
    <x v="1"/>
    <n v="9"/>
    <x v="1"/>
  </r>
  <r>
    <s v="TX501584"/>
    <x v="7"/>
    <x v="2"/>
    <n v="37.4"/>
    <n v="112.19999999999999"/>
    <x v="58"/>
    <d v="2025-03-01T00:00:00"/>
    <s v="F"/>
    <x v="3"/>
    <x v="0"/>
    <x v="0"/>
    <x v="1"/>
    <x v="3"/>
    <n v="9"/>
    <x v="2"/>
  </r>
  <r>
    <s v="TX501585"/>
    <x v="6"/>
    <x v="2"/>
    <n v="53.5"/>
    <n v="160.5"/>
    <x v="58"/>
    <d v="2025-03-03T00:00:00"/>
    <s v=""/>
    <x v="4"/>
    <x v="4"/>
    <x v="0"/>
    <x v="1"/>
    <x v="2"/>
    <n v="9"/>
    <x v="0"/>
  </r>
  <r>
    <s v="TX501586"/>
    <x v="11"/>
    <x v="9"/>
    <n v="36.200000000000003"/>
    <n v="181"/>
    <x v="58"/>
    <d v="2025-03-01T00:00:00"/>
    <s v="M"/>
    <x v="1"/>
    <x v="2"/>
    <x v="0"/>
    <x v="33"/>
    <x v="3"/>
    <n v="9"/>
    <x v="1"/>
  </r>
  <r>
    <s v="TX501587"/>
    <x v="0"/>
    <x v="8"/>
    <n v="31.9"/>
    <n v="255.2"/>
    <x v="58"/>
    <d v="2025-03-01T00:00:00"/>
    <s v="F"/>
    <x v="4"/>
    <x v="0"/>
    <x v="0"/>
    <x v="3"/>
    <x v="3"/>
    <n v="9"/>
    <x v="2"/>
  </r>
  <r>
    <s v="TX501588"/>
    <x v="8"/>
    <x v="2"/>
    <n v="21.3"/>
    <n v="63.900000000000006"/>
    <x v="58"/>
    <d v="2025-03-01T00:00:00"/>
    <s v="M"/>
    <x v="0"/>
    <x v="2"/>
    <x v="0"/>
    <x v="3"/>
    <x v="3"/>
    <n v="9"/>
    <x v="1"/>
  </r>
  <r>
    <s v="TX501589"/>
    <x v="8"/>
    <x v="0"/>
    <n v="36.299999999999997"/>
    <n v="36.299999999999997"/>
    <x v="58"/>
    <d v="2025-03-02T00:00:00"/>
    <s v="O"/>
    <x v="4"/>
    <x v="0"/>
    <x v="0"/>
    <x v="3"/>
    <x v="1"/>
    <n v="9"/>
    <x v="3"/>
  </r>
  <r>
    <s v="TX501590"/>
    <x v="6"/>
    <x v="2"/>
    <n v="110.5"/>
    <n v="331.5"/>
    <x v="58"/>
    <d v="2025-03-01T00:00:00"/>
    <s v="F"/>
    <x v="0"/>
    <x v="3"/>
    <x v="0"/>
    <x v="3"/>
    <x v="3"/>
    <n v="9"/>
    <x v="2"/>
  </r>
  <r>
    <s v="TX501591"/>
    <x v="10"/>
    <x v="3"/>
    <n v="32.6"/>
    <n v="228.20000000000002"/>
    <x v="58"/>
    <d v="2025-03-02T00:00:00"/>
    <s v="F"/>
    <x v="0"/>
    <x v="1"/>
    <x v="0"/>
    <x v="3"/>
    <x v="1"/>
    <n v="9"/>
    <x v="2"/>
  </r>
  <r>
    <s v="TX501592"/>
    <x v="5"/>
    <x v="2"/>
    <n v="55.6"/>
    <n v="166.8"/>
    <x v="59"/>
    <d v="2025-03-14T00:00:00"/>
    <s v="F"/>
    <x v="0"/>
    <x v="0"/>
    <x v="0"/>
    <x v="3"/>
    <x v="10"/>
    <n v="9"/>
    <x v="2"/>
  </r>
  <r>
    <s v="TX501593"/>
    <x v="1"/>
    <x v="12"/>
    <n v="38"/>
    <n v="152"/>
    <x v="59"/>
    <d v="2025-03-02T00:00:00"/>
    <s v="F"/>
    <x v="3"/>
    <x v="2"/>
    <x v="0"/>
    <x v="5"/>
    <x v="3"/>
    <n v="9"/>
    <x v="2"/>
  </r>
  <r>
    <s v="TX501594"/>
    <x v="10"/>
    <x v="1"/>
    <n v="51.8"/>
    <n v="103.6"/>
    <x v="59"/>
    <d v="2025-03-07T00:00:00"/>
    <s v="M"/>
    <x v="1"/>
    <x v="4"/>
    <x v="0"/>
    <x v="6"/>
    <x v="4"/>
    <n v="9"/>
    <x v="1"/>
  </r>
  <r>
    <s v="TX501595"/>
    <x v="11"/>
    <x v="8"/>
    <n v="28.7"/>
    <n v="229.6"/>
    <x v="59"/>
    <d v="2025-03-06T00:00:00"/>
    <s v="F"/>
    <x v="0"/>
    <x v="0"/>
    <x v="0"/>
    <x v="6"/>
    <x v="0"/>
    <n v="9"/>
    <x v="2"/>
  </r>
  <r>
    <s v="TX501596"/>
    <x v="6"/>
    <x v="4"/>
    <n v="52.2"/>
    <n v="626.40000000000009"/>
    <x v="59"/>
    <d v="2025-03-01T00:00:00"/>
    <s v="M"/>
    <x v="0"/>
    <x v="1"/>
    <x v="0"/>
    <x v="6"/>
    <x v="7"/>
    <n v="9"/>
    <x v="1"/>
  </r>
  <r>
    <s v="TX501597"/>
    <x v="1"/>
    <x v="1"/>
    <n v="68.2"/>
    <n v="136.4"/>
    <x v="59"/>
    <d v="2025-03-02T00:00:00"/>
    <s v=""/>
    <x v="2"/>
    <x v="0"/>
    <x v="0"/>
    <x v="7"/>
    <x v="3"/>
    <n v="9"/>
    <x v="0"/>
  </r>
  <r>
    <s v="TX501598"/>
    <x v="0"/>
    <x v="2"/>
    <n v="34"/>
    <n v="102"/>
    <x v="59"/>
    <d v="2025-03-05T00:00:00"/>
    <s v="F"/>
    <x v="0"/>
    <x v="0"/>
    <x v="0"/>
    <x v="8"/>
    <x v="5"/>
    <n v="9"/>
    <x v="2"/>
  </r>
  <r>
    <s v="TX501599"/>
    <x v="8"/>
    <x v="2"/>
    <n v="19.100000000000001"/>
    <n v="57.300000000000004"/>
    <x v="59"/>
    <d v="2025-03-02T00:00:00"/>
    <s v="F"/>
    <x v="4"/>
    <x v="0"/>
    <x v="0"/>
    <x v="8"/>
    <x v="3"/>
    <n v="9"/>
    <x v="2"/>
  </r>
  <r>
    <s v="TX501600"/>
    <x v="5"/>
    <x v="8"/>
    <n v="34"/>
    <n v="272"/>
    <x v="59"/>
    <d v="2025-03-09T00:00:00"/>
    <s v="F"/>
    <x v="4"/>
    <x v="0"/>
    <x v="0"/>
    <x v="8"/>
    <x v="9"/>
    <n v="9"/>
    <x v="2"/>
  </r>
  <r>
    <s v="TX501601"/>
    <x v="12"/>
    <x v="1"/>
    <n v="109.1"/>
    <n v="218.2"/>
    <x v="59"/>
    <d v="2025-03-03T00:00:00"/>
    <s v="M"/>
    <x v="0"/>
    <x v="2"/>
    <x v="0"/>
    <x v="8"/>
    <x v="1"/>
    <n v="9"/>
    <x v="1"/>
  </r>
  <r>
    <s v="TX501602"/>
    <x v="18"/>
    <x v="1"/>
    <n v="64.8"/>
    <n v="129.6"/>
    <x v="59"/>
    <d v="2025-03-03T00:00:00"/>
    <s v="M"/>
    <x v="0"/>
    <x v="2"/>
    <x v="0"/>
    <x v="8"/>
    <x v="1"/>
    <n v="9"/>
    <x v="1"/>
  </r>
  <r>
    <s v="TX501603"/>
    <x v="10"/>
    <x v="1"/>
    <n v="21.1"/>
    <n v="42.2"/>
    <x v="59"/>
    <d v="2025-03-01T00:00:00"/>
    <s v="F"/>
    <x v="1"/>
    <x v="0"/>
    <x v="0"/>
    <x v="11"/>
    <x v="7"/>
    <n v="9"/>
    <x v="2"/>
  </r>
  <r>
    <s v="TX501604"/>
    <x v="0"/>
    <x v="8"/>
    <n v="21.3"/>
    <n v="170.4"/>
    <x v="59"/>
    <d v="2025-03-03T00:00:00"/>
    <s v="M"/>
    <x v="3"/>
    <x v="1"/>
    <x v="0"/>
    <x v="18"/>
    <x v="1"/>
    <n v="9"/>
    <x v="1"/>
  </r>
  <r>
    <s v="TX501605"/>
    <x v="9"/>
    <x v="2"/>
    <n v="24.3"/>
    <n v="72.900000000000006"/>
    <x v="59"/>
    <d v="2025-03-02T00:00:00"/>
    <s v="M"/>
    <x v="1"/>
    <x v="0"/>
    <x v="0"/>
    <x v="19"/>
    <x v="3"/>
    <n v="9"/>
    <x v="1"/>
  </r>
  <r>
    <s v="TX501606"/>
    <x v="8"/>
    <x v="0"/>
    <n v="43.3"/>
    <n v="43.3"/>
    <x v="59"/>
    <d v="2025-03-05T00:00:00"/>
    <s v="M"/>
    <x v="1"/>
    <x v="1"/>
    <x v="0"/>
    <x v="13"/>
    <x v="5"/>
    <n v="9"/>
    <x v="1"/>
  </r>
  <r>
    <s v="TX501607"/>
    <x v="9"/>
    <x v="2"/>
    <n v="41"/>
    <n v="123"/>
    <x v="59"/>
    <d v="2025-03-02T00:00:00"/>
    <s v="F"/>
    <x v="3"/>
    <x v="4"/>
    <x v="0"/>
    <x v="21"/>
    <x v="3"/>
    <n v="9"/>
    <x v="2"/>
  </r>
  <r>
    <s v="TX501608"/>
    <x v="16"/>
    <x v="2"/>
    <n v="54.1"/>
    <n v="162.30000000000001"/>
    <x v="59"/>
    <d v="2025-03-03T00:00:00"/>
    <s v="F"/>
    <x v="4"/>
    <x v="0"/>
    <x v="0"/>
    <x v="21"/>
    <x v="1"/>
    <n v="9"/>
    <x v="2"/>
  </r>
  <r>
    <s v="TX501609"/>
    <x v="11"/>
    <x v="1"/>
    <n v="39"/>
    <n v="78"/>
    <x v="59"/>
    <d v="2025-03-02T00:00:00"/>
    <s v="M"/>
    <x v="1"/>
    <x v="2"/>
    <x v="0"/>
    <x v="1"/>
    <x v="3"/>
    <n v="9"/>
    <x v="1"/>
  </r>
  <r>
    <s v="TX501610"/>
    <x v="8"/>
    <x v="1"/>
    <n v="40.299999999999997"/>
    <n v="80.599999999999994"/>
    <x v="59"/>
    <d v="2025-03-03T00:00:00"/>
    <s v="M"/>
    <x v="3"/>
    <x v="0"/>
    <x v="0"/>
    <x v="27"/>
    <x v="1"/>
    <n v="9"/>
    <x v="1"/>
  </r>
  <r>
    <s v="TX501611"/>
    <x v="8"/>
    <x v="2"/>
    <n v="24.1"/>
    <n v="72.300000000000011"/>
    <x v="59"/>
    <d v="2025-03-02T00:00:00"/>
    <s v="M"/>
    <x v="0"/>
    <x v="2"/>
    <x v="0"/>
    <x v="34"/>
    <x v="3"/>
    <n v="9"/>
    <x v="1"/>
  </r>
  <r>
    <s v="TX501612"/>
    <x v="6"/>
    <x v="9"/>
    <n v="52.3"/>
    <n v="261.5"/>
    <x v="59"/>
    <d v="2025-03-02T00:00:00"/>
    <s v="M"/>
    <x v="2"/>
    <x v="0"/>
    <x v="0"/>
    <x v="3"/>
    <x v="3"/>
    <n v="9"/>
    <x v="1"/>
  </r>
  <r>
    <s v="TX501613"/>
    <x v="12"/>
    <x v="12"/>
    <n v="68.8"/>
    <n v="275.2"/>
    <x v="59"/>
    <d v="2025-03-05T00:00:00"/>
    <s v="F"/>
    <x v="4"/>
    <x v="2"/>
    <x v="0"/>
    <x v="3"/>
    <x v="5"/>
    <n v="9"/>
    <x v="2"/>
  </r>
  <r>
    <s v="TX501614"/>
    <x v="2"/>
    <x v="1"/>
    <n v="128.80000000000001"/>
    <n v="257.60000000000002"/>
    <x v="60"/>
    <d v="2025-03-05T00:00:00"/>
    <s v="F"/>
    <x v="1"/>
    <x v="1"/>
    <x v="0"/>
    <x v="3"/>
    <x v="2"/>
    <n v="10"/>
    <x v="2"/>
  </r>
  <r>
    <s v="TX501615"/>
    <x v="15"/>
    <x v="9"/>
    <n v="48.2"/>
    <n v="241"/>
    <x v="60"/>
    <d v="2025-03-04T00:00:00"/>
    <s v="F"/>
    <x v="3"/>
    <x v="0"/>
    <x v="0"/>
    <x v="3"/>
    <x v="1"/>
    <n v="10"/>
    <x v="2"/>
  </r>
  <r>
    <s v="TX501616"/>
    <x v="10"/>
    <x v="0"/>
    <n v="39.700000000000003"/>
    <n v="39.700000000000003"/>
    <x v="60"/>
    <d v="2025-03-04T00:00:00"/>
    <s v="F"/>
    <x v="0"/>
    <x v="1"/>
    <x v="0"/>
    <x v="3"/>
    <x v="1"/>
    <n v="10"/>
    <x v="2"/>
  </r>
  <r>
    <s v="TX501617"/>
    <x v="9"/>
    <x v="0"/>
    <n v="59.7"/>
    <n v="59.7"/>
    <x v="60"/>
    <d v="2025-03-05T00:00:00"/>
    <s v="F"/>
    <x v="4"/>
    <x v="0"/>
    <x v="0"/>
    <x v="3"/>
    <x v="2"/>
    <n v="10"/>
    <x v="2"/>
  </r>
  <r>
    <s v="TX501618"/>
    <x v="6"/>
    <x v="0"/>
    <n v="48.3"/>
    <n v="48.3"/>
    <x v="60"/>
    <d v="2025-03-16T00:00:00"/>
    <s v="O"/>
    <x v="0"/>
    <x v="2"/>
    <x v="0"/>
    <x v="3"/>
    <x v="12"/>
    <n v="10"/>
    <x v="3"/>
  </r>
  <r>
    <s v="TX501619"/>
    <x v="8"/>
    <x v="2"/>
    <n v="45.5"/>
    <n v="136.5"/>
    <x v="60"/>
    <d v="2025-03-04T00:00:00"/>
    <s v="M"/>
    <x v="2"/>
    <x v="1"/>
    <x v="0"/>
    <x v="3"/>
    <x v="1"/>
    <n v="10"/>
    <x v="1"/>
  </r>
  <r>
    <s v="TX501620"/>
    <x v="9"/>
    <x v="6"/>
    <n v="51"/>
    <n v="1377"/>
    <x v="60"/>
    <d v="2025-03-02T00:00:00"/>
    <s v="F"/>
    <x v="2"/>
    <x v="0"/>
    <x v="0"/>
    <x v="3"/>
    <x v="7"/>
    <n v="10"/>
    <x v="2"/>
  </r>
  <r>
    <s v="TX501621"/>
    <x v="4"/>
    <x v="13"/>
    <n v="20.399999999999999"/>
    <n v="122.39999999999999"/>
    <x v="60"/>
    <d v="2025-03-03T00:00:00"/>
    <s v="M"/>
    <x v="2"/>
    <x v="0"/>
    <x v="0"/>
    <x v="3"/>
    <x v="3"/>
    <n v="10"/>
    <x v="1"/>
  </r>
  <r>
    <s v="TX501622"/>
    <x v="10"/>
    <x v="1"/>
    <n v="30.4"/>
    <n v="60.8"/>
    <x v="60"/>
    <d v="2025-03-04T00:00:00"/>
    <s v="M"/>
    <x v="2"/>
    <x v="0"/>
    <x v="0"/>
    <x v="3"/>
    <x v="1"/>
    <n v="10"/>
    <x v="1"/>
  </r>
  <r>
    <s v="TX501623"/>
    <x v="7"/>
    <x v="1"/>
    <n v="71.5"/>
    <n v="143"/>
    <x v="60"/>
    <d v="2025-03-06T00:00:00"/>
    <s v="F"/>
    <x v="0"/>
    <x v="0"/>
    <x v="0"/>
    <x v="3"/>
    <x v="5"/>
    <n v="10"/>
    <x v="2"/>
  </r>
  <r>
    <s v="TX501624"/>
    <x v="8"/>
    <x v="13"/>
    <n v="18"/>
    <n v="108"/>
    <x v="60"/>
    <d v="2025-03-03T00:00:00"/>
    <s v="O"/>
    <x v="1"/>
    <x v="2"/>
    <x v="0"/>
    <x v="6"/>
    <x v="3"/>
    <n v="10"/>
    <x v="3"/>
  </r>
  <r>
    <s v="TX501625"/>
    <x v="15"/>
    <x v="5"/>
    <n v="45.6"/>
    <n v="501.6"/>
    <x v="60"/>
    <d v="2025-03-03T00:00:00"/>
    <s v="O"/>
    <x v="1"/>
    <x v="1"/>
    <x v="0"/>
    <x v="7"/>
    <x v="3"/>
    <n v="10"/>
    <x v="3"/>
  </r>
  <r>
    <s v="TX501626"/>
    <x v="9"/>
    <x v="0"/>
    <n v="31.8"/>
    <n v="31.8"/>
    <x v="60"/>
    <d v="2025-03-06T00:00:00"/>
    <s v="F"/>
    <x v="0"/>
    <x v="2"/>
    <x v="0"/>
    <x v="7"/>
    <x v="5"/>
    <n v="10"/>
    <x v="2"/>
  </r>
  <r>
    <s v="TX501627"/>
    <x v="8"/>
    <x v="9"/>
    <n v="19.899999999999999"/>
    <n v="99.5"/>
    <x v="60"/>
    <d v="2025-03-03T00:00:00"/>
    <s v="F"/>
    <x v="1"/>
    <x v="0"/>
    <x v="0"/>
    <x v="7"/>
    <x v="3"/>
    <n v="10"/>
    <x v="2"/>
  </r>
  <r>
    <s v="TX501628"/>
    <x v="12"/>
    <x v="11"/>
    <n v="52.1"/>
    <n v="468.90000000000003"/>
    <x v="60"/>
    <d v="2025-03-04T00:00:00"/>
    <s v="M"/>
    <x v="0"/>
    <x v="0"/>
    <x v="0"/>
    <x v="8"/>
    <x v="1"/>
    <n v="10"/>
    <x v="1"/>
  </r>
  <r>
    <s v="TX501629"/>
    <x v="1"/>
    <x v="3"/>
    <n v="45.9"/>
    <n v="321.3"/>
    <x v="60"/>
    <d v="2025-03-03T00:00:00"/>
    <s v="M"/>
    <x v="0"/>
    <x v="1"/>
    <x v="0"/>
    <x v="8"/>
    <x v="3"/>
    <n v="10"/>
    <x v="1"/>
  </r>
  <r>
    <s v="TX501630"/>
    <x v="1"/>
    <x v="7"/>
    <n v="115.9"/>
    <n v="1159"/>
    <x v="60"/>
    <d v="2025-03-05T00:00:00"/>
    <s v="F"/>
    <x v="1"/>
    <x v="0"/>
    <x v="0"/>
    <x v="8"/>
    <x v="2"/>
    <n v="10"/>
    <x v="2"/>
  </r>
  <r>
    <s v="TX501631"/>
    <x v="6"/>
    <x v="11"/>
    <n v="86"/>
    <n v="774"/>
    <x v="60"/>
    <d v="2025-03-07T00:00:00"/>
    <s v="F"/>
    <x v="0"/>
    <x v="1"/>
    <x v="0"/>
    <x v="8"/>
    <x v="0"/>
    <n v="10"/>
    <x v="2"/>
  </r>
  <r>
    <s v="TX501632"/>
    <x v="7"/>
    <x v="3"/>
    <n v="73.599999999999994"/>
    <n v="515.19999999999993"/>
    <x v="60"/>
    <d v="2025-03-04T00:00:00"/>
    <s v="F"/>
    <x v="0"/>
    <x v="0"/>
    <x v="0"/>
    <x v="17"/>
    <x v="1"/>
    <n v="10"/>
    <x v="2"/>
  </r>
  <r>
    <s v="TX501633"/>
    <x v="10"/>
    <x v="2"/>
    <n v="26.7"/>
    <n v="80.099999999999994"/>
    <x v="60"/>
    <d v="2025-03-06T00:00:00"/>
    <s v="F"/>
    <x v="0"/>
    <x v="0"/>
    <x v="0"/>
    <x v="11"/>
    <x v="5"/>
    <n v="10"/>
    <x v="2"/>
  </r>
  <r>
    <s v="TX501634"/>
    <x v="8"/>
    <x v="3"/>
    <n v="46.6"/>
    <n v="326.2"/>
    <x v="60"/>
    <d v="2025-03-04T00:00:00"/>
    <s v=""/>
    <x v="3"/>
    <x v="0"/>
    <x v="0"/>
    <x v="11"/>
    <x v="1"/>
    <n v="10"/>
    <x v="0"/>
  </r>
  <r>
    <s v="TX501635"/>
    <x v="3"/>
    <x v="2"/>
    <n v="84.6"/>
    <n v="253.79999999999998"/>
    <x v="60"/>
    <d v="2025-03-04T00:00:00"/>
    <s v="M"/>
    <x v="4"/>
    <x v="0"/>
    <x v="0"/>
    <x v="11"/>
    <x v="1"/>
    <n v="10"/>
    <x v="1"/>
  </r>
  <r>
    <s v="TX501636"/>
    <x v="7"/>
    <x v="21"/>
    <n v="41.5"/>
    <n v="581"/>
    <x v="60"/>
    <d v="2025-03-16T00:00:00"/>
    <s v="M"/>
    <x v="1"/>
    <x v="0"/>
    <x v="0"/>
    <x v="53"/>
    <x v="12"/>
    <n v="10"/>
    <x v="1"/>
  </r>
  <r>
    <s v="TX501637"/>
    <x v="8"/>
    <x v="0"/>
    <n v="32.799999999999997"/>
    <n v="32.799999999999997"/>
    <x v="60"/>
    <d v="2025-03-05T00:00:00"/>
    <s v="M"/>
    <x v="0"/>
    <x v="2"/>
    <x v="0"/>
    <x v="30"/>
    <x v="2"/>
    <n v="10"/>
    <x v="1"/>
  </r>
  <r>
    <s v="TX501638"/>
    <x v="4"/>
    <x v="3"/>
    <n v="46.7"/>
    <n v="326.90000000000003"/>
    <x v="60"/>
    <d v="2025-03-04T00:00:00"/>
    <s v="O"/>
    <x v="0"/>
    <x v="2"/>
    <x v="0"/>
    <x v="18"/>
    <x v="1"/>
    <n v="10"/>
    <x v="3"/>
  </r>
  <r>
    <s v="TX501639"/>
    <x v="15"/>
    <x v="3"/>
    <n v="21"/>
    <n v="147"/>
    <x v="60"/>
    <d v="2025-03-05T00:00:00"/>
    <s v="M"/>
    <x v="2"/>
    <x v="1"/>
    <x v="0"/>
    <x v="21"/>
    <x v="2"/>
    <n v="10"/>
    <x v="1"/>
  </r>
  <r>
    <s v="TX501640"/>
    <x v="5"/>
    <x v="3"/>
    <n v="29.4"/>
    <n v="205.79999999999998"/>
    <x v="60"/>
    <d v="2025-03-02T00:00:00"/>
    <s v="M"/>
    <x v="3"/>
    <x v="2"/>
    <x v="0"/>
    <x v="21"/>
    <x v="7"/>
    <n v="10"/>
    <x v="1"/>
  </r>
  <r>
    <s v="TX501641"/>
    <x v="15"/>
    <x v="1"/>
    <n v="32.299999999999997"/>
    <n v="64.599999999999994"/>
    <x v="60"/>
    <d v="2025-03-03T00:00:00"/>
    <s v="M"/>
    <x v="0"/>
    <x v="2"/>
    <x v="0"/>
    <x v="21"/>
    <x v="3"/>
    <n v="10"/>
    <x v="1"/>
  </r>
  <r>
    <s v="TX501642"/>
    <x v="6"/>
    <x v="0"/>
    <n v="42.2"/>
    <n v="42.2"/>
    <x v="61"/>
    <d v="2025-03-05T00:00:00"/>
    <s v="F"/>
    <x v="0"/>
    <x v="2"/>
    <x v="0"/>
    <x v="21"/>
    <x v="1"/>
    <n v="10"/>
    <x v="2"/>
  </r>
  <r>
    <s v="TX501643"/>
    <x v="6"/>
    <x v="0"/>
    <n v="53.7"/>
    <n v="53.7"/>
    <x v="61"/>
    <d v="2025-03-05T00:00:00"/>
    <s v="M"/>
    <x v="1"/>
    <x v="1"/>
    <x v="0"/>
    <x v="1"/>
    <x v="1"/>
    <n v="10"/>
    <x v="1"/>
  </r>
  <r>
    <s v="TX501644"/>
    <x v="2"/>
    <x v="1"/>
    <n v="123.9"/>
    <n v="247.8"/>
    <x v="61"/>
    <d v="2025-03-06T00:00:00"/>
    <s v="M"/>
    <x v="2"/>
    <x v="0"/>
    <x v="0"/>
    <x v="1"/>
    <x v="2"/>
    <n v="10"/>
    <x v="1"/>
  </r>
  <r>
    <s v="TX501645"/>
    <x v="4"/>
    <x v="2"/>
    <n v="35.9"/>
    <n v="107.69999999999999"/>
    <x v="61"/>
    <d v="2025-03-05T00:00:00"/>
    <s v="M"/>
    <x v="2"/>
    <x v="0"/>
    <x v="0"/>
    <x v="22"/>
    <x v="1"/>
    <n v="10"/>
    <x v="1"/>
  </r>
  <r>
    <s v="TX501646"/>
    <x v="4"/>
    <x v="1"/>
    <n v="23.6"/>
    <n v="47.2"/>
    <x v="61"/>
    <d v="2025-03-06T00:00:00"/>
    <s v="M"/>
    <x v="0"/>
    <x v="2"/>
    <x v="0"/>
    <x v="3"/>
    <x v="2"/>
    <n v="10"/>
    <x v="1"/>
  </r>
  <r>
    <s v="TX501647"/>
    <x v="15"/>
    <x v="36"/>
    <n v="45.7"/>
    <n v="1599.5"/>
    <x v="61"/>
    <d v="2025-03-04T00:00:00"/>
    <s v="M"/>
    <x v="0"/>
    <x v="1"/>
    <x v="0"/>
    <x v="3"/>
    <x v="3"/>
    <n v="10"/>
    <x v="1"/>
  </r>
  <r>
    <s v="TX501648"/>
    <x v="6"/>
    <x v="5"/>
    <n v="118.3"/>
    <n v="1301.3"/>
    <x v="61"/>
    <d v="2025-03-05T00:00:00"/>
    <s v="M"/>
    <x v="4"/>
    <x v="2"/>
    <x v="0"/>
    <x v="3"/>
    <x v="1"/>
    <n v="10"/>
    <x v="1"/>
  </r>
  <r>
    <s v="TX501649"/>
    <x v="19"/>
    <x v="0"/>
    <n v="36"/>
    <n v="36"/>
    <x v="61"/>
    <d v="2025-03-04T00:00:00"/>
    <s v="F"/>
    <x v="0"/>
    <x v="1"/>
    <x v="0"/>
    <x v="3"/>
    <x v="3"/>
    <n v="10"/>
    <x v="2"/>
  </r>
  <r>
    <s v="TX501650"/>
    <x v="8"/>
    <x v="1"/>
    <n v="37.1"/>
    <n v="74.2"/>
    <x v="61"/>
    <d v="2025-03-06T00:00:00"/>
    <s v="F"/>
    <x v="2"/>
    <x v="0"/>
    <x v="0"/>
    <x v="3"/>
    <x v="2"/>
    <n v="10"/>
    <x v="2"/>
  </r>
  <r>
    <s v="TX501651"/>
    <x v="18"/>
    <x v="2"/>
    <n v="45.1"/>
    <n v="135.30000000000001"/>
    <x v="61"/>
    <d v="2025-03-05T00:00:00"/>
    <s v="F"/>
    <x v="1"/>
    <x v="2"/>
    <x v="0"/>
    <x v="3"/>
    <x v="1"/>
    <n v="10"/>
    <x v="2"/>
  </r>
  <r>
    <s v="TX501652"/>
    <x v="5"/>
    <x v="27"/>
    <n v="37.9"/>
    <n v="606.4"/>
    <x v="61"/>
    <d v="2025-03-04T00:00:00"/>
    <s v="F"/>
    <x v="3"/>
    <x v="2"/>
    <x v="0"/>
    <x v="3"/>
    <x v="3"/>
    <n v="10"/>
    <x v="2"/>
  </r>
  <r>
    <s v="TX501653"/>
    <x v="2"/>
    <x v="1"/>
    <n v="121.6"/>
    <n v="243.2"/>
    <x v="61"/>
    <d v="2025-03-06T00:00:00"/>
    <s v="M"/>
    <x v="3"/>
    <x v="2"/>
    <x v="0"/>
    <x v="3"/>
    <x v="2"/>
    <n v="10"/>
    <x v="1"/>
  </r>
  <r>
    <s v="TX501654"/>
    <x v="5"/>
    <x v="3"/>
    <n v="38.200000000000003"/>
    <n v="267.40000000000003"/>
    <x v="61"/>
    <d v="2025-03-06T00:00:00"/>
    <s v="F"/>
    <x v="0"/>
    <x v="0"/>
    <x v="0"/>
    <x v="3"/>
    <x v="2"/>
    <n v="10"/>
    <x v="2"/>
  </r>
  <r>
    <s v="TX501655"/>
    <x v="17"/>
    <x v="1"/>
    <n v="37.200000000000003"/>
    <n v="74.400000000000006"/>
    <x v="61"/>
    <d v="2025-03-06T00:00:00"/>
    <s v="M"/>
    <x v="4"/>
    <x v="0"/>
    <x v="0"/>
    <x v="3"/>
    <x v="2"/>
    <n v="10"/>
    <x v="1"/>
  </r>
  <r>
    <s v="TX501656"/>
    <x v="2"/>
    <x v="12"/>
    <n v="115.7"/>
    <n v="462.8"/>
    <x v="61"/>
    <d v="2025-03-06T00:00:00"/>
    <s v="F"/>
    <x v="1"/>
    <x v="0"/>
    <x v="0"/>
    <x v="3"/>
    <x v="2"/>
    <n v="10"/>
    <x v="2"/>
  </r>
  <r>
    <s v="TX501657"/>
    <x v="2"/>
    <x v="13"/>
    <n v="99.4"/>
    <n v="596.40000000000009"/>
    <x v="61"/>
    <d v="2025-03-06T00:00:00"/>
    <s v="M"/>
    <x v="0"/>
    <x v="2"/>
    <x v="0"/>
    <x v="3"/>
    <x v="2"/>
    <n v="10"/>
    <x v="1"/>
  </r>
  <r>
    <s v="TX501658"/>
    <x v="11"/>
    <x v="0"/>
    <n v="38.700000000000003"/>
    <n v="38.700000000000003"/>
    <x v="61"/>
    <d v="2025-03-04T00:00:00"/>
    <s v="F"/>
    <x v="2"/>
    <x v="0"/>
    <x v="0"/>
    <x v="25"/>
    <x v="3"/>
    <n v="10"/>
    <x v="2"/>
  </r>
  <r>
    <s v="TX501659"/>
    <x v="4"/>
    <x v="1"/>
    <n v="35.5"/>
    <n v="71"/>
    <x v="61"/>
    <d v="2025-03-06T00:00:00"/>
    <s v="M"/>
    <x v="0"/>
    <x v="2"/>
    <x v="0"/>
    <x v="25"/>
    <x v="2"/>
    <n v="10"/>
    <x v="1"/>
  </r>
  <r>
    <s v="TX501660"/>
    <x v="2"/>
    <x v="12"/>
    <n v="93.3"/>
    <n v="373.2"/>
    <x v="61"/>
    <d v="2025-03-06T00:00:00"/>
    <s v="F"/>
    <x v="0"/>
    <x v="2"/>
    <x v="0"/>
    <x v="6"/>
    <x v="2"/>
    <n v="10"/>
    <x v="2"/>
  </r>
  <r>
    <s v="TX501661"/>
    <x v="16"/>
    <x v="0"/>
    <n v="31.4"/>
    <n v="31.4"/>
    <x v="61"/>
    <d v="2025-03-08T00:00:00"/>
    <s v="F"/>
    <x v="2"/>
    <x v="2"/>
    <x v="0"/>
    <x v="6"/>
    <x v="0"/>
    <n v="10"/>
    <x v="2"/>
  </r>
  <r>
    <s v="TX501662"/>
    <x v="1"/>
    <x v="0"/>
    <n v="85.9"/>
    <n v="85.9"/>
    <x v="61"/>
    <d v="2025-03-06T00:00:00"/>
    <s v="M"/>
    <x v="1"/>
    <x v="0"/>
    <x v="0"/>
    <x v="6"/>
    <x v="2"/>
    <n v="10"/>
    <x v="1"/>
  </r>
  <r>
    <s v="TX501663"/>
    <x v="6"/>
    <x v="8"/>
    <n v="41.7"/>
    <n v="333.6"/>
    <x v="61"/>
    <d v="2025-03-11T00:00:00"/>
    <s v="M"/>
    <x v="0"/>
    <x v="2"/>
    <x v="0"/>
    <x v="7"/>
    <x v="9"/>
    <n v="10"/>
    <x v="1"/>
  </r>
  <r>
    <s v="TX501664"/>
    <x v="8"/>
    <x v="12"/>
    <n v="31.5"/>
    <n v="126"/>
    <x v="61"/>
    <d v="2025-03-04T00:00:00"/>
    <s v="F"/>
    <x v="0"/>
    <x v="0"/>
    <x v="0"/>
    <x v="7"/>
    <x v="3"/>
    <n v="10"/>
    <x v="2"/>
  </r>
  <r>
    <s v="TX501665"/>
    <x v="8"/>
    <x v="1"/>
    <n v="36.299999999999997"/>
    <n v="72.599999999999994"/>
    <x v="61"/>
    <d v="2025-03-04T00:00:00"/>
    <s v="F"/>
    <x v="0"/>
    <x v="4"/>
    <x v="0"/>
    <x v="8"/>
    <x v="3"/>
    <n v="10"/>
    <x v="2"/>
  </r>
  <r>
    <s v="TX501666"/>
    <x v="8"/>
    <x v="2"/>
    <n v="33.4"/>
    <n v="100.19999999999999"/>
    <x v="61"/>
    <d v="2025-03-04T00:00:00"/>
    <s v="F"/>
    <x v="3"/>
    <x v="0"/>
    <x v="0"/>
    <x v="17"/>
    <x v="3"/>
    <n v="10"/>
    <x v="2"/>
  </r>
  <r>
    <s v="TX501667"/>
    <x v="2"/>
    <x v="2"/>
    <n v="65.2"/>
    <n v="195.60000000000002"/>
    <x v="61"/>
    <d v="2025-03-04T00:00:00"/>
    <s v="F"/>
    <x v="2"/>
    <x v="2"/>
    <x v="0"/>
    <x v="26"/>
    <x v="3"/>
    <n v="10"/>
    <x v="2"/>
  </r>
  <r>
    <s v="TX501668"/>
    <x v="8"/>
    <x v="11"/>
    <n v="65.5"/>
    <n v="589.5"/>
    <x v="61"/>
    <d v="2025-03-06T00:00:00"/>
    <s v="F"/>
    <x v="0"/>
    <x v="2"/>
    <x v="0"/>
    <x v="9"/>
    <x v="2"/>
    <n v="10"/>
    <x v="2"/>
  </r>
  <r>
    <s v="TX501669"/>
    <x v="6"/>
    <x v="2"/>
    <n v="52.8"/>
    <n v="158.39999999999998"/>
    <x v="61"/>
    <d v="2025-03-06T00:00:00"/>
    <s v="M"/>
    <x v="2"/>
    <x v="0"/>
    <x v="0"/>
    <x v="9"/>
    <x v="2"/>
    <n v="10"/>
    <x v="1"/>
  </r>
  <r>
    <s v="TX501670"/>
    <x v="9"/>
    <x v="9"/>
    <n v="24"/>
    <n v="120"/>
    <x v="61"/>
    <d v="2025-03-07T00:00:00"/>
    <s v="M"/>
    <x v="0"/>
    <x v="1"/>
    <x v="0"/>
    <x v="11"/>
    <x v="5"/>
    <n v="10"/>
    <x v="1"/>
  </r>
  <r>
    <s v="TX501671"/>
    <x v="3"/>
    <x v="2"/>
    <n v="51.2"/>
    <n v="153.60000000000002"/>
    <x v="61"/>
    <d v="2025-03-04T00:00:00"/>
    <s v="F"/>
    <x v="0"/>
    <x v="0"/>
    <x v="0"/>
    <x v="32"/>
    <x v="3"/>
    <n v="10"/>
    <x v="2"/>
  </r>
  <r>
    <s v="TX501672"/>
    <x v="5"/>
    <x v="2"/>
    <n v="28.3"/>
    <n v="84.9"/>
    <x v="61"/>
    <d v="2025-03-05T00:00:00"/>
    <s v="M"/>
    <x v="4"/>
    <x v="0"/>
    <x v="0"/>
    <x v="19"/>
    <x v="1"/>
    <n v="10"/>
    <x v="1"/>
  </r>
  <r>
    <s v="TX501673"/>
    <x v="6"/>
    <x v="2"/>
    <n v="42.3"/>
    <n v="126.89999999999999"/>
    <x v="61"/>
    <d v="2025-03-03T00:00:00"/>
    <s v="F"/>
    <x v="2"/>
    <x v="1"/>
    <x v="0"/>
    <x v="19"/>
    <x v="7"/>
    <n v="10"/>
    <x v="2"/>
  </r>
  <r>
    <s v="TX501674"/>
    <x v="2"/>
    <x v="8"/>
    <n v="163.30000000000001"/>
    <n v="1306.4000000000001"/>
    <x v="62"/>
    <d v="2025-03-05T00:00:00"/>
    <s v="F"/>
    <x v="1"/>
    <x v="0"/>
    <x v="0"/>
    <x v="13"/>
    <x v="3"/>
    <n v="10"/>
    <x v="2"/>
  </r>
  <r>
    <s v="TX501675"/>
    <x v="6"/>
    <x v="3"/>
    <n v="47.3"/>
    <n v="331.09999999999997"/>
    <x v="62"/>
    <d v="2025-03-07T00:00:00"/>
    <s v="F"/>
    <x v="4"/>
    <x v="1"/>
    <x v="0"/>
    <x v="21"/>
    <x v="2"/>
    <n v="10"/>
    <x v="2"/>
  </r>
  <r>
    <s v="TX501676"/>
    <x v="8"/>
    <x v="27"/>
    <n v="27.3"/>
    <n v="436.8"/>
    <x v="62"/>
    <d v="2025-03-05T00:00:00"/>
    <s v="F"/>
    <x v="2"/>
    <x v="0"/>
    <x v="0"/>
    <x v="21"/>
    <x v="3"/>
    <n v="10"/>
    <x v="2"/>
  </r>
  <r>
    <s v="TX501677"/>
    <x v="10"/>
    <x v="13"/>
    <n v="34.9"/>
    <n v="209.39999999999998"/>
    <x v="62"/>
    <d v="2025-03-15T00:00:00"/>
    <s v="F"/>
    <x v="0"/>
    <x v="0"/>
    <x v="0"/>
    <x v="21"/>
    <x v="11"/>
    <n v="10"/>
    <x v="2"/>
  </r>
  <r>
    <s v="TX501678"/>
    <x v="6"/>
    <x v="1"/>
    <n v="53.9"/>
    <n v="107.8"/>
    <x v="62"/>
    <d v="2025-03-07T00:00:00"/>
    <s v="O"/>
    <x v="0"/>
    <x v="4"/>
    <x v="0"/>
    <x v="1"/>
    <x v="2"/>
    <n v="10"/>
    <x v="3"/>
  </r>
  <r>
    <s v="TX501679"/>
    <x v="2"/>
    <x v="1"/>
    <n v="87.2"/>
    <n v="174.4"/>
    <x v="62"/>
    <d v="2025-03-05T00:00:00"/>
    <s v="F"/>
    <x v="0"/>
    <x v="1"/>
    <x v="0"/>
    <x v="1"/>
    <x v="3"/>
    <n v="10"/>
    <x v="2"/>
  </r>
  <r>
    <s v="TX501680"/>
    <x v="15"/>
    <x v="0"/>
    <n v="58.8"/>
    <n v="58.8"/>
    <x v="62"/>
    <d v="2025-03-06T00:00:00"/>
    <s v="F"/>
    <x v="2"/>
    <x v="0"/>
    <x v="0"/>
    <x v="44"/>
    <x v="1"/>
    <n v="10"/>
    <x v="2"/>
  </r>
  <r>
    <s v="TX501681"/>
    <x v="2"/>
    <x v="3"/>
    <n v="125.5"/>
    <n v="878.5"/>
    <x v="62"/>
    <d v="2025-03-05T00:00:00"/>
    <s v="M"/>
    <x v="2"/>
    <x v="4"/>
    <x v="0"/>
    <x v="22"/>
    <x v="3"/>
    <n v="10"/>
    <x v="1"/>
  </r>
  <r>
    <s v="TX501682"/>
    <x v="1"/>
    <x v="12"/>
    <n v="124.6"/>
    <n v="498.4"/>
    <x v="62"/>
    <d v="2025-03-06T00:00:00"/>
    <s v="F"/>
    <x v="0"/>
    <x v="1"/>
    <x v="0"/>
    <x v="22"/>
    <x v="1"/>
    <n v="10"/>
    <x v="2"/>
  </r>
  <r>
    <s v="TX501683"/>
    <x v="1"/>
    <x v="3"/>
    <n v="39.9"/>
    <n v="279.3"/>
    <x v="62"/>
    <d v="2025-03-05T00:00:00"/>
    <s v="M"/>
    <x v="2"/>
    <x v="1"/>
    <x v="0"/>
    <x v="3"/>
    <x v="3"/>
    <n v="10"/>
    <x v="1"/>
  </r>
  <r>
    <s v="TX501684"/>
    <x v="6"/>
    <x v="0"/>
    <n v="94.6"/>
    <n v="94.6"/>
    <x v="62"/>
    <d v="2025-03-18T00:00:00"/>
    <s v="F"/>
    <x v="0"/>
    <x v="1"/>
    <x v="0"/>
    <x v="3"/>
    <x v="12"/>
    <n v="10"/>
    <x v="2"/>
  </r>
  <r>
    <s v="TX501685"/>
    <x v="2"/>
    <x v="1"/>
    <n v="149.6"/>
    <n v="299.2"/>
    <x v="62"/>
    <d v="2025-03-05T00:00:00"/>
    <s v="F"/>
    <x v="0"/>
    <x v="0"/>
    <x v="0"/>
    <x v="3"/>
    <x v="3"/>
    <n v="10"/>
    <x v="2"/>
  </r>
  <r>
    <s v="TX501686"/>
    <x v="8"/>
    <x v="0"/>
    <n v="52.2"/>
    <n v="52.2"/>
    <x v="62"/>
    <d v="2025-03-05T00:00:00"/>
    <s v=""/>
    <x v="1"/>
    <x v="0"/>
    <x v="0"/>
    <x v="3"/>
    <x v="3"/>
    <n v="10"/>
    <x v="0"/>
  </r>
  <r>
    <s v="TX501687"/>
    <x v="6"/>
    <x v="1"/>
    <n v="96.5"/>
    <n v="193"/>
    <x v="62"/>
    <d v="2025-03-05T00:00:00"/>
    <s v="F"/>
    <x v="1"/>
    <x v="1"/>
    <x v="0"/>
    <x v="3"/>
    <x v="3"/>
    <n v="10"/>
    <x v="2"/>
  </r>
  <r>
    <s v="TX501688"/>
    <x v="8"/>
    <x v="1"/>
    <n v="79.8"/>
    <n v="159.6"/>
    <x v="62"/>
    <d v="2025-03-06T00:00:00"/>
    <s v="F"/>
    <x v="0"/>
    <x v="1"/>
    <x v="0"/>
    <x v="3"/>
    <x v="1"/>
    <n v="10"/>
    <x v="2"/>
  </r>
  <r>
    <s v="TX501689"/>
    <x v="8"/>
    <x v="2"/>
    <n v="35.6"/>
    <n v="106.80000000000001"/>
    <x v="62"/>
    <d v="2025-03-05T00:00:00"/>
    <s v="F"/>
    <x v="2"/>
    <x v="0"/>
    <x v="0"/>
    <x v="3"/>
    <x v="3"/>
    <n v="10"/>
    <x v="2"/>
  </r>
  <r>
    <s v="TX501690"/>
    <x v="16"/>
    <x v="0"/>
    <n v="50.2"/>
    <n v="50.2"/>
    <x v="62"/>
    <d v="2025-03-05T00:00:00"/>
    <s v="F"/>
    <x v="1"/>
    <x v="2"/>
    <x v="0"/>
    <x v="3"/>
    <x v="3"/>
    <n v="10"/>
    <x v="2"/>
  </r>
  <r>
    <s v="TX501691"/>
    <x v="1"/>
    <x v="2"/>
    <n v="55.3"/>
    <n v="165.89999999999998"/>
    <x v="62"/>
    <d v="2025-03-07T00:00:00"/>
    <s v="F"/>
    <x v="0"/>
    <x v="4"/>
    <x v="0"/>
    <x v="40"/>
    <x v="2"/>
    <n v="10"/>
    <x v="2"/>
  </r>
  <r>
    <s v="TX501692"/>
    <x v="6"/>
    <x v="3"/>
    <n v="104.5"/>
    <n v="731.5"/>
    <x v="62"/>
    <d v="2025-03-08T00:00:00"/>
    <s v="F"/>
    <x v="1"/>
    <x v="0"/>
    <x v="0"/>
    <x v="7"/>
    <x v="5"/>
    <n v="10"/>
    <x v="2"/>
  </r>
  <r>
    <s v="TX501693"/>
    <x v="6"/>
    <x v="12"/>
    <n v="66.5"/>
    <n v="266"/>
    <x v="62"/>
    <d v="2025-03-06T00:00:00"/>
    <s v="M"/>
    <x v="1"/>
    <x v="0"/>
    <x v="0"/>
    <x v="7"/>
    <x v="1"/>
    <n v="10"/>
    <x v="1"/>
  </r>
  <r>
    <s v="TX501694"/>
    <x v="10"/>
    <x v="8"/>
    <n v="38.299999999999997"/>
    <n v="306.39999999999998"/>
    <x v="62"/>
    <d v="2025-03-05T00:00:00"/>
    <s v="F"/>
    <x v="0"/>
    <x v="0"/>
    <x v="0"/>
    <x v="7"/>
    <x v="3"/>
    <n v="10"/>
    <x v="2"/>
  </r>
  <r>
    <s v="TX501695"/>
    <x v="6"/>
    <x v="2"/>
    <n v="63.8"/>
    <n v="191.39999999999998"/>
    <x v="62"/>
    <d v="2025-03-07T00:00:00"/>
    <s v="F"/>
    <x v="1"/>
    <x v="0"/>
    <x v="0"/>
    <x v="8"/>
    <x v="2"/>
    <n v="10"/>
    <x v="2"/>
  </r>
  <r>
    <s v="TX501696"/>
    <x v="15"/>
    <x v="0"/>
    <n v="21.4"/>
    <n v="21.4"/>
    <x v="62"/>
    <d v="2025-03-04T00:00:00"/>
    <s v="M"/>
    <x v="4"/>
    <x v="0"/>
    <x v="0"/>
    <x v="8"/>
    <x v="7"/>
    <n v="10"/>
    <x v="1"/>
  </r>
  <r>
    <s v="TX501697"/>
    <x v="8"/>
    <x v="12"/>
    <n v="44.1"/>
    <n v="176.4"/>
    <x v="62"/>
    <d v="2025-03-06T00:00:00"/>
    <s v="F"/>
    <x v="2"/>
    <x v="0"/>
    <x v="0"/>
    <x v="8"/>
    <x v="1"/>
    <n v="10"/>
    <x v="2"/>
  </r>
  <r>
    <s v="TX501698"/>
    <x v="5"/>
    <x v="8"/>
    <n v="57.6"/>
    <n v="460.8"/>
    <x v="62"/>
    <d v="2025-03-06T00:00:00"/>
    <s v="M"/>
    <x v="1"/>
    <x v="2"/>
    <x v="0"/>
    <x v="8"/>
    <x v="1"/>
    <n v="10"/>
    <x v="1"/>
  </r>
  <r>
    <s v="TX501699"/>
    <x v="9"/>
    <x v="1"/>
    <n v="20.3"/>
    <n v="40.6"/>
    <x v="62"/>
    <d v="2025-03-10T00:00:00"/>
    <s v="F"/>
    <x v="3"/>
    <x v="0"/>
    <x v="0"/>
    <x v="8"/>
    <x v="4"/>
    <n v="10"/>
    <x v="2"/>
  </r>
  <r>
    <s v="TX501700"/>
    <x v="8"/>
    <x v="0"/>
    <n v="22.9"/>
    <n v="22.9"/>
    <x v="62"/>
    <d v="2025-03-06T00:00:00"/>
    <s v="F"/>
    <x v="2"/>
    <x v="2"/>
    <x v="0"/>
    <x v="8"/>
    <x v="1"/>
    <n v="10"/>
    <x v="2"/>
  </r>
  <r>
    <s v="TX501701"/>
    <x v="6"/>
    <x v="12"/>
    <n v="105.9"/>
    <n v="423.6"/>
    <x v="62"/>
    <d v="2025-03-05T00:00:00"/>
    <s v="F"/>
    <x v="1"/>
    <x v="2"/>
    <x v="0"/>
    <x v="17"/>
    <x v="3"/>
    <n v="10"/>
    <x v="2"/>
  </r>
  <r>
    <s v="TX501702"/>
    <x v="1"/>
    <x v="11"/>
    <n v="37.4"/>
    <n v="336.59999999999997"/>
    <x v="62"/>
    <d v="2025-03-08T00:00:00"/>
    <s v="M"/>
    <x v="1"/>
    <x v="0"/>
    <x v="0"/>
    <x v="11"/>
    <x v="5"/>
    <n v="10"/>
    <x v="1"/>
  </r>
  <r>
    <s v="TX501703"/>
    <x v="18"/>
    <x v="1"/>
    <n v="79"/>
    <n v="158"/>
    <x v="62"/>
    <d v="2025-03-05T00:00:00"/>
    <s v="M"/>
    <x v="2"/>
    <x v="0"/>
    <x v="0"/>
    <x v="28"/>
    <x v="3"/>
    <n v="10"/>
    <x v="1"/>
  </r>
  <r>
    <s v="TX501704"/>
    <x v="0"/>
    <x v="2"/>
    <n v="19.3"/>
    <n v="57.900000000000006"/>
    <x v="62"/>
    <d v="2025-03-05T00:00:00"/>
    <s v="F"/>
    <x v="4"/>
    <x v="0"/>
    <x v="0"/>
    <x v="21"/>
    <x v="3"/>
    <n v="10"/>
    <x v="2"/>
  </r>
  <r>
    <s v="TX501705"/>
    <x v="0"/>
    <x v="0"/>
    <n v="24"/>
    <n v="24"/>
    <x v="62"/>
    <d v="2025-03-05T00:00:00"/>
    <s v="F"/>
    <x v="1"/>
    <x v="0"/>
    <x v="0"/>
    <x v="1"/>
    <x v="3"/>
    <n v="10"/>
    <x v="2"/>
  </r>
  <r>
    <s v="TX501706"/>
    <x v="6"/>
    <x v="9"/>
    <n v="71.3"/>
    <n v="356.5"/>
    <x v="62"/>
    <d v="2025-03-07T00:00:00"/>
    <s v="F"/>
    <x v="2"/>
    <x v="0"/>
    <x v="0"/>
    <x v="2"/>
    <x v="2"/>
    <n v="10"/>
    <x v="2"/>
  </r>
  <r>
    <s v="TX501707"/>
    <x v="5"/>
    <x v="1"/>
    <n v="166.2"/>
    <n v="332.4"/>
    <x v="62"/>
    <d v="2025-03-05T00:00:00"/>
    <s v="M"/>
    <x v="0"/>
    <x v="2"/>
    <x v="0"/>
    <x v="50"/>
    <x v="3"/>
    <n v="10"/>
    <x v="1"/>
  </r>
  <r>
    <s v="TX501708"/>
    <x v="6"/>
    <x v="0"/>
    <n v="81"/>
    <n v="81"/>
    <x v="62"/>
    <d v="2025-03-05T00:00:00"/>
    <s v="F"/>
    <x v="2"/>
    <x v="1"/>
    <x v="0"/>
    <x v="3"/>
    <x v="3"/>
    <n v="10"/>
    <x v="2"/>
  </r>
  <r>
    <s v="TX501709"/>
    <x v="10"/>
    <x v="13"/>
    <n v="38.5"/>
    <n v="231"/>
    <x v="62"/>
    <d v="2025-03-08T00:00:00"/>
    <s v="F"/>
    <x v="0"/>
    <x v="0"/>
    <x v="0"/>
    <x v="3"/>
    <x v="5"/>
    <n v="10"/>
    <x v="2"/>
  </r>
  <r>
    <s v="TX501710"/>
    <x v="6"/>
    <x v="0"/>
    <n v="86.1"/>
    <n v="86.1"/>
    <x v="62"/>
    <d v="2025-03-06T00:00:00"/>
    <s v="F"/>
    <x v="3"/>
    <x v="0"/>
    <x v="0"/>
    <x v="3"/>
    <x v="1"/>
    <n v="10"/>
    <x v="2"/>
  </r>
  <r>
    <s v="TX501711"/>
    <x v="2"/>
    <x v="9"/>
    <n v="51"/>
    <n v="255"/>
    <x v="62"/>
    <d v="2025-03-05T00:00:00"/>
    <s v="M"/>
    <x v="0"/>
    <x v="1"/>
    <x v="0"/>
    <x v="3"/>
    <x v="3"/>
    <n v="10"/>
    <x v="1"/>
  </r>
  <r>
    <s v="TX501712"/>
    <x v="3"/>
    <x v="9"/>
    <n v="115.4"/>
    <n v="577"/>
    <x v="62"/>
    <d v="2025-03-05T00:00:00"/>
    <s v="M"/>
    <x v="0"/>
    <x v="0"/>
    <x v="0"/>
    <x v="3"/>
    <x v="3"/>
    <n v="10"/>
    <x v="1"/>
  </r>
  <r>
    <s v="TX501713"/>
    <x v="6"/>
    <x v="12"/>
    <n v="176.5"/>
    <n v="706"/>
    <x v="62"/>
    <d v="2025-03-05T00:00:00"/>
    <s v="F"/>
    <x v="2"/>
    <x v="2"/>
    <x v="0"/>
    <x v="3"/>
    <x v="3"/>
    <n v="10"/>
    <x v="2"/>
  </r>
  <r>
    <s v="TX501714"/>
    <x v="7"/>
    <x v="2"/>
    <n v="48.9"/>
    <n v="146.69999999999999"/>
    <x v="62"/>
    <d v="2025-03-05T00:00:00"/>
    <s v="M"/>
    <x v="4"/>
    <x v="0"/>
    <x v="0"/>
    <x v="3"/>
    <x v="3"/>
    <n v="10"/>
    <x v="1"/>
  </r>
  <r>
    <s v="TX501715"/>
    <x v="8"/>
    <x v="2"/>
    <n v="18.100000000000001"/>
    <n v="54.300000000000004"/>
    <x v="62"/>
    <d v="2025-03-11T00:00:00"/>
    <s v="F"/>
    <x v="1"/>
    <x v="2"/>
    <x v="0"/>
    <x v="29"/>
    <x v="6"/>
    <n v="10"/>
    <x v="2"/>
  </r>
  <r>
    <s v="TX501716"/>
    <x v="2"/>
    <x v="1"/>
    <n v="118.5"/>
    <n v="237"/>
    <x v="62"/>
    <d v="2025-03-07T00:00:00"/>
    <s v="M"/>
    <x v="1"/>
    <x v="2"/>
    <x v="0"/>
    <x v="16"/>
    <x v="2"/>
    <n v="10"/>
    <x v="1"/>
  </r>
  <r>
    <s v="TX501717"/>
    <x v="15"/>
    <x v="3"/>
    <n v="59.1"/>
    <n v="413.7"/>
    <x v="62"/>
    <d v="2025-03-05T00:00:00"/>
    <s v="F"/>
    <x v="3"/>
    <x v="0"/>
    <x v="0"/>
    <x v="25"/>
    <x v="3"/>
    <n v="10"/>
    <x v="2"/>
  </r>
  <r>
    <s v="TX501718"/>
    <x v="4"/>
    <x v="0"/>
    <n v="21.2"/>
    <n v="21.2"/>
    <x v="62"/>
    <d v="2025-03-05T00:00:00"/>
    <s v="F"/>
    <x v="0"/>
    <x v="1"/>
    <x v="0"/>
    <x v="6"/>
    <x v="3"/>
    <n v="10"/>
    <x v="2"/>
  </r>
  <r>
    <s v="TX501719"/>
    <x v="6"/>
    <x v="1"/>
    <n v="68.8"/>
    <n v="137.6"/>
    <x v="62"/>
    <d v="2025-03-09T00:00:00"/>
    <s v="F"/>
    <x v="3"/>
    <x v="2"/>
    <x v="0"/>
    <x v="6"/>
    <x v="0"/>
    <n v="10"/>
    <x v="2"/>
  </r>
  <r>
    <s v="TX501720"/>
    <x v="6"/>
    <x v="1"/>
    <n v="65.400000000000006"/>
    <n v="130.80000000000001"/>
    <x v="62"/>
    <d v="2025-03-08T00:00:00"/>
    <s v="F"/>
    <x v="0"/>
    <x v="0"/>
    <x v="0"/>
    <x v="6"/>
    <x v="5"/>
    <n v="10"/>
    <x v="2"/>
  </r>
  <r>
    <s v="TX501721"/>
    <x v="12"/>
    <x v="9"/>
    <n v="66.3"/>
    <n v="331.5"/>
    <x v="63"/>
    <d v="2025-03-08T00:00:00"/>
    <s v="F"/>
    <x v="4"/>
    <x v="0"/>
    <x v="0"/>
    <x v="6"/>
    <x v="2"/>
    <n v="10"/>
    <x v="2"/>
  </r>
  <r>
    <s v="TX501722"/>
    <x v="6"/>
    <x v="2"/>
    <n v="97.5"/>
    <n v="292.5"/>
    <x v="63"/>
    <d v="2025-03-05T00:00:00"/>
    <s v="M"/>
    <x v="3"/>
    <x v="0"/>
    <x v="0"/>
    <x v="8"/>
    <x v="7"/>
    <n v="10"/>
    <x v="1"/>
  </r>
  <r>
    <s v="TX501723"/>
    <x v="1"/>
    <x v="1"/>
    <n v="44"/>
    <n v="88"/>
    <x v="63"/>
    <d v="2025-03-08T00:00:00"/>
    <s v="F"/>
    <x v="1"/>
    <x v="2"/>
    <x v="0"/>
    <x v="8"/>
    <x v="2"/>
    <n v="10"/>
    <x v="2"/>
  </r>
  <r>
    <s v="TX501724"/>
    <x v="0"/>
    <x v="0"/>
    <n v="21.9"/>
    <n v="21.9"/>
    <x v="63"/>
    <d v="2025-03-06T00:00:00"/>
    <s v="M"/>
    <x v="0"/>
    <x v="0"/>
    <x v="0"/>
    <x v="8"/>
    <x v="3"/>
    <n v="10"/>
    <x v="1"/>
  </r>
  <r>
    <s v="TX501725"/>
    <x v="4"/>
    <x v="3"/>
    <n v="21.5"/>
    <n v="150.5"/>
    <x v="63"/>
    <d v="2025-03-07T00:00:00"/>
    <s v="F"/>
    <x v="1"/>
    <x v="2"/>
    <x v="0"/>
    <x v="9"/>
    <x v="1"/>
    <n v="10"/>
    <x v="2"/>
  </r>
  <r>
    <s v="TX501726"/>
    <x v="12"/>
    <x v="13"/>
    <n v="133"/>
    <n v="798"/>
    <x v="63"/>
    <d v="2025-03-06T00:00:00"/>
    <s v="O"/>
    <x v="0"/>
    <x v="2"/>
    <x v="0"/>
    <x v="10"/>
    <x v="3"/>
    <n v="10"/>
    <x v="3"/>
  </r>
  <r>
    <s v="TX501727"/>
    <x v="8"/>
    <x v="1"/>
    <n v="47.7"/>
    <n v="95.4"/>
    <x v="63"/>
    <d v="2025-03-09T00:00:00"/>
    <s v="M"/>
    <x v="0"/>
    <x v="2"/>
    <x v="0"/>
    <x v="10"/>
    <x v="5"/>
    <n v="10"/>
    <x v="1"/>
  </r>
  <r>
    <s v="TX501728"/>
    <x v="16"/>
    <x v="2"/>
    <n v="58.1"/>
    <n v="174.3"/>
    <x v="63"/>
    <d v="2025-03-06T00:00:00"/>
    <s v="F"/>
    <x v="0"/>
    <x v="0"/>
    <x v="0"/>
    <x v="11"/>
    <x v="3"/>
    <n v="10"/>
    <x v="2"/>
  </r>
  <r>
    <s v="TX501729"/>
    <x v="12"/>
    <x v="12"/>
    <n v="66.599999999999994"/>
    <n v="266.39999999999998"/>
    <x v="63"/>
    <d v="2025-03-06T00:00:00"/>
    <s v=""/>
    <x v="0"/>
    <x v="0"/>
    <x v="0"/>
    <x v="11"/>
    <x v="3"/>
    <n v="10"/>
    <x v="0"/>
  </r>
  <r>
    <s v="TX501730"/>
    <x v="9"/>
    <x v="0"/>
    <n v="24.1"/>
    <n v="24.1"/>
    <x v="63"/>
    <d v="2025-03-08T00:00:00"/>
    <s v="M"/>
    <x v="2"/>
    <x v="1"/>
    <x v="0"/>
    <x v="19"/>
    <x v="2"/>
    <n v="10"/>
    <x v="1"/>
  </r>
  <r>
    <s v="TX501731"/>
    <x v="10"/>
    <x v="9"/>
    <n v="51.5"/>
    <n v="257.5"/>
    <x v="63"/>
    <d v="2025-03-10T00:00:00"/>
    <s v="F"/>
    <x v="0"/>
    <x v="0"/>
    <x v="0"/>
    <x v="13"/>
    <x v="0"/>
    <n v="10"/>
    <x v="2"/>
  </r>
  <r>
    <s v="TX501732"/>
    <x v="0"/>
    <x v="5"/>
    <n v="25.8"/>
    <n v="283.8"/>
    <x v="63"/>
    <d v="2025-03-09T00:00:00"/>
    <s v="F"/>
    <x v="3"/>
    <x v="4"/>
    <x v="0"/>
    <x v="21"/>
    <x v="5"/>
    <n v="10"/>
    <x v="2"/>
  </r>
  <r>
    <s v="TX501733"/>
    <x v="9"/>
    <x v="12"/>
    <n v="47.7"/>
    <n v="190.8"/>
    <x v="63"/>
    <d v="2025-03-05T00:00:00"/>
    <s v="F"/>
    <x v="0"/>
    <x v="1"/>
    <x v="0"/>
    <x v="21"/>
    <x v="7"/>
    <n v="10"/>
    <x v="2"/>
  </r>
  <r>
    <s v="TX501734"/>
    <x v="7"/>
    <x v="9"/>
    <n v="73.599999999999994"/>
    <n v="368"/>
    <x v="63"/>
    <d v="2025-03-09T00:00:00"/>
    <s v="M"/>
    <x v="1"/>
    <x v="0"/>
    <x v="0"/>
    <x v="21"/>
    <x v="5"/>
    <n v="10"/>
    <x v="1"/>
  </r>
  <r>
    <s v="TX501735"/>
    <x v="5"/>
    <x v="3"/>
    <n v="91.2"/>
    <n v="638.4"/>
    <x v="63"/>
    <d v="2025-03-06T00:00:00"/>
    <s v="M"/>
    <x v="1"/>
    <x v="2"/>
    <x v="0"/>
    <x v="21"/>
    <x v="3"/>
    <n v="10"/>
    <x v="1"/>
  </r>
  <r>
    <s v="TX501736"/>
    <x v="1"/>
    <x v="8"/>
    <n v="36.200000000000003"/>
    <n v="289.60000000000002"/>
    <x v="63"/>
    <d v="2025-03-05T00:00:00"/>
    <s v="M"/>
    <x v="2"/>
    <x v="2"/>
    <x v="0"/>
    <x v="1"/>
    <x v="7"/>
    <n v="10"/>
    <x v="1"/>
  </r>
  <r>
    <s v="TX501737"/>
    <x v="9"/>
    <x v="8"/>
    <n v="98"/>
    <n v="784"/>
    <x v="63"/>
    <d v="2025-03-09T00:00:00"/>
    <s v="F"/>
    <x v="2"/>
    <x v="0"/>
    <x v="0"/>
    <x v="2"/>
    <x v="5"/>
    <n v="10"/>
    <x v="2"/>
  </r>
  <r>
    <s v="TX501738"/>
    <x v="1"/>
    <x v="8"/>
    <n v="43.6"/>
    <n v="348.8"/>
    <x v="63"/>
    <d v="2025-03-06T00:00:00"/>
    <s v="F"/>
    <x v="2"/>
    <x v="0"/>
    <x v="0"/>
    <x v="22"/>
    <x v="3"/>
    <n v="10"/>
    <x v="2"/>
  </r>
  <r>
    <s v="TX501739"/>
    <x v="8"/>
    <x v="7"/>
    <n v="37.799999999999997"/>
    <n v="378"/>
    <x v="63"/>
    <d v="2025-03-05T00:00:00"/>
    <s v="O"/>
    <x v="0"/>
    <x v="0"/>
    <x v="0"/>
    <x v="50"/>
    <x v="7"/>
    <n v="10"/>
    <x v="3"/>
  </r>
  <r>
    <s v="TX501740"/>
    <x v="17"/>
    <x v="9"/>
    <n v="63.7"/>
    <n v="318.5"/>
    <x v="63"/>
    <d v="2025-03-08T00:00:00"/>
    <s v="F"/>
    <x v="2"/>
    <x v="1"/>
    <x v="0"/>
    <x v="3"/>
    <x v="2"/>
    <n v="10"/>
    <x v="2"/>
  </r>
  <r>
    <s v="TX501741"/>
    <x v="5"/>
    <x v="11"/>
    <n v="62.9"/>
    <n v="566.1"/>
    <x v="63"/>
    <d v="2025-03-10T00:00:00"/>
    <s v="M"/>
    <x v="3"/>
    <x v="2"/>
    <x v="0"/>
    <x v="3"/>
    <x v="0"/>
    <n v="10"/>
    <x v="1"/>
  </r>
  <r>
    <s v="TX501742"/>
    <x v="6"/>
    <x v="3"/>
    <n v="61.7"/>
    <n v="431.90000000000003"/>
    <x v="63"/>
    <d v="2025-03-08T00:00:00"/>
    <s v="F"/>
    <x v="2"/>
    <x v="2"/>
    <x v="0"/>
    <x v="3"/>
    <x v="2"/>
    <n v="10"/>
    <x v="2"/>
  </r>
  <r>
    <s v="TX501743"/>
    <x v="18"/>
    <x v="21"/>
    <n v="36.5"/>
    <n v="511"/>
    <x v="63"/>
    <d v="2025-03-06T00:00:00"/>
    <s v="M"/>
    <x v="0"/>
    <x v="2"/>
    <x v="0"/>
    <x v="3"/>
    <x v="3"/>
    <n v="10"/>
    <x v="1"/>
  </r>
  <r>
    <s v="TX501744"/>
    <x v="11"/>
    <x v="2"/>
    <n v="98.6"/>
    <n v="295.79999999999995"/>
    <x v="63"/>
    <d v="2025-03-08T00:00:00"/>
    <s v="O"/>
    <x v="0"/>
    <x v="4"/>
    <x v="0"/>
    <x v="3"/>
    <x v="2"/>
    <n v="10"/>
    <x v="3"/>
  </r>
  <r>
    <s v="TX501745"/>
    <x v="8"/>
    <x v="1"/>
    <n v="19.2"/>
    <n v="38.4"/>
    <x v="63"/>
    <d v="2025-03-15T00:00:00"/>
    <s v="M"/>
    <x v="0"/>
    <x v="0"/>
    <x v="0"/>
    <x v="3"/>
    <x v="14"/>
    <n v="10"/>
    <x v="1"/>
  </r>
  <r>
    <s v="TX501746"/>
    <x v="3"/>
    <x v="13"/>
    <n v="55.6"/>
    <n v="333.6"/>
    <x v="63"/>
    <d v="2025-03-09T00:00:00"/>
    <s v="F"/>
    <x v="0"/>
    <x v="2"/>
    <x v="0"/>
    <x v="3"/>
    <x v="5"/>
    <n v="10"/>
    <x v="2"/>
  </r>
  <r>
    <s v="TX501747"/>
    <x v="5"/>
    <x v="13"/>
    <n v="56.4"/>
    <n v="338.4"/>
    <x v="63"/>
    <d v="2025-03-06T00:00:00"/>
    <s v="F"/>
    <x v="1"/>
    <x v="0"/>
    <x v="0"/>
    <x v="3"/>
    <x v="3"/>
    <n v="10"/>
    <x v="2"/>
  </r>
  <r>
    <s v="TX501748"/>
    <x v="4"/>
    <x v="8"/>
    <n v="43.1"/>
    <n v="344.8"/>
    <x v="63"/>
    <d v="2025-03-09T00:00:00"/>
    <s v="F"/>
    <x v="4"/>
    <x v="0"/>
    <x v="0"/>
    <x v="3"/>
    <x v="5"/>
    <n v="10"/>
    <x v="2"/>
  </r>
  <r>
    <s v="TX501749"/>
    <x v="1"/>
    <x v="1"/>
    <n v="77.3"/>
    <n v="154.6"/>
    <x v="63"/>
    <d v="2025-03-07T00:00:00"/>
    <s v="M"/>
    <x v="0"/>
    <x v="0"/>
    <x v="0"/>
    <x v="6"/>
    <x v="1"/>
    <n v="10"/>
    <x v="1"/>
  </r>
  <r>
    <s v="TX501750"/>
    <x v="9"/>
    <x v="8"/>
    <n v="38.299999999999997"/>
    <n v="306.39999999999998"/>
    <x v="63"/>
    <d v="2025-03-06T00:00:00"/>
    <s v="M"/>
    <x v="0"/>
    <x v="0"/>
    <x v="0"/>
    <x v="7"/>
    <x v="3"/>
    <n v="10"/>
    <x v="1"/>
  </r>
  <r>
    <s v="TX501751"/>
    <x v="0"/>
    <x v="3"/>
    <n v="16.8"/>
    <n v="117.60000000000001"/>
    <x v="63"/>
    <d v="2025-03-08T00:00:00"/>
    <s v="M"/>
    <x v="2"/>
    <x v="1"/>
    <x v="0"/>
    <x v="8"/>
    <x v="2"/>
    <n v="10"/>
    <x v="1"/>
  </r>
  <r>
    <s v="TX501752"/>
    <x v="2"/>
    <x v="2"/>
    <n v="63.2"/>
    <n v="189.60000000000002"/>
    <x v="63"/>
    <d v="2025-03-06T00:00:00"/>
    <s v="F"/>
    <x v="0"/>
    <x v="2"/>
    <x v="0"/>
    <x v="8"/>
    <x v="3"/>
    <n v="10"/>
    <x v="2"/>
  </r>
  <r>
    <s v="TX501753"/>
    <x v="14"/>
    <x v="44"/>
    <n v="39.700000000000003"/>
    <n v="913.1"/>
    <x v="63"/>
    <d v="2025-03-06T00:00:00"/>
    <s v="M"/>
    <x v="0"/>
    <x v="0"/>
    <x v="0"/>
    <x v="8"/>
    <x v="3"/>
    <n v="10"/>
    <x v="1"/>
  </r>
  <r>
    <s v="TX501754"/>
    <x v="10"/>
    <x v="2"/>
    <n v="45.8"/>
    <n v="137.39999999999998"/>
    <x v="63"/>
    <d v="2025-03-06T00:00:00"/>
    <s v="F"/>
    <x v="1"/>
    <x v="2"/>
    <x v="0"/>
    <x v="8"/>
    <x v="3"/>
    <n v="10"/>
    <x v="2"/>
  </r>
  <r>
    <s v="TX501755"/>
    <x v="0"/>
    <x v="13"/>
    <n v="12.4"/>
    <n v="74.400000000000006"/>
    <x v="63"/>
    <d v="2025-03-08T00:00:00"/>
    <s v="M"/>
    <x v="0"/>
    <x v="0"/>
    <x v="0"/>
    <x v="8"/>
    <x v="2"/>
    <n v="10"/>
    <x v="1"/>
  </r>
  <r>
    <s v="TX501756"/>
    <x v="14"/>
    <x v="2"/>
    <n v="50.8"/>
    <n v="152.39999999999998"/>
    <x v="64"/>
    <d v="2025-03-06T00:00:00"/>
    <s v="F"/>
    <x v="4"/>
    <x v="0"/>
    <x v="0"/>
    <x v="17"/>
    <x v="7"/>
    <n v="10"/>
    <x v="2"/>
  </r>
  <r>
    <s v="TX501757"/>
    <x v="9"/>
    <x v="0"/>
    <n v="76"/>
    <n v="76"/>
    <x v="64"/>
    <d v="2025-03-10T00:00:00"/>
    <s v="O"/>
    <x v="2"/>
    <x v="2"/>
    <x v="0"/>
    <x v="17"/>
    <x v="5"/>
    <n v="10"/>
    <x v="3"/>
  </r>
  <r>
    <s v="TX501758"/>
    <x v="1"/>
    <x v="1"/>
    <n v="51.9"/>
    <n v="103.8"/>
    <x v="64"/>
    <d v="2025-03-07T00:00:00"/>
    <s v="M"/>
    <x v="1"/>
    <x v="2"/>
    <x v="0"/>
    <x v="26"/>
    <x v="3"/>
    <n v="10"/>
    <x v="1"/>
  </r>
  <r>
    <s v="TX501759"/>
    <x v="2"/>
    <x v="1"/>
    <n v="93.4"/>
    <n v="186.8"/>
    <x v="64"/>
    <d v="2025-03-13T00:00:00"/>
    <s v="M"/>
    <x v="0"/>
    <x v="3"/>
    <x v="0"/>
    <x v="11"/>
    <x v="6"/>
    <n v="10"/>
    <x v="1"/>
  </r>
  <r>
    <s v="TX501760"/>
    <x v="7"/>
    <x v="13"/>
    <n v="30.8"/>
    <n v="184.8"/>
    <x v="64"/>
    <d v="2025-03-09T00:00:00"/>
    <s v="F"/>
    <x v="1"/>
    <x v="0"/>
    <x v="0"/>
    <x v="11"/>
    <x v="2"/>
    <n v="10"/>
    <x v="2"/>
  </r>
  <r>
    <s v="TX501761"/>
    <x v="2"/>
    <x v="0"/>
    <n v="143.19999999999999"/>
    <n v="143.19999999999999"/>
    <x v="64"/>
    <d v="2025-03-09T00:00:00"/>
    <s v="M"/>
    <x v="2"/>
    <x v="0"/>
    <x v="0"/>
    <x v="11"/>
    <x v="2"/>
    <n v="10"/>
    <x v="1"/>
  </r>
  <r>
    <s v="TX501762"/>
    <x v="6"/>
    <x v="5"/>
    <n v="40.4"/>
    <n v="444.4"/>
    <x v="64"/>
    <d v="2025-03-08T00:00:00"/>
    <s v="M"/>
    <x v="2"/>
    <x v="2"/>
    <x v="0"/>
    <x v="18"/>
    <x v="1"/>
    <n v="10"/>
    <x v="1"/>
  </r>
  <r>
    <s v="TX501763"/>
    <x v="2"/>
    <x v="10"/>
    <n v="131.5"/>
    <n v="2498.5"/>
    <x v="64"/>
    <d v="2025-03-08T00:00:00"/>
    <s v="M"/>
    <x v="1"/>
    <x v="1"/>
    <x v="0"/>
    <x v="18"/>
    <x v="1"/>
    <n v="10"/>
    <x v="1"/>
  </r>
  <r>
    <s v="TX501764"/>
    <x v="18"/>
    <x v="3"/>
    <n v="61.6"/>
    <n v="431.2"/>
    <x v="64"/>
    <d v="2025-03-07T00:00:00"/>
    <s v="M"/>
    <x v="2"/>
    <x v="0"/>
    <x v="0"/>
    <x v="21"/>
    <x v="3"/>
    <n v="10"/>
    <x v="1"/>
  </r>
  <r>
    <s v="TX501765"/>
    <x v="9"/>
    <x v="9"/>
    <n v="32.700000000000003"/>
    <n v="163.5"/>
    <x v="64"/>
    <d v="2025-03-08T00:00:00"/>
    <s v="M"/>
    <x v="2"/>
    <x v="0"/>
    <x v="0"/>
    <x v="1"/>
    <x v="1"/>
    <n v="10"/>
    <x v="1"/>
  </r>
  <r>
    <s v="TX501766"/>
    <x v="0"/>
    <x v="7"/>
    <n v="13.7"/>
    <n v="137"/>
    <x v="64"/>
    <d v="2025-03-07T00:00:00"/>
    <s v="M"/>
    <x v="0"/>
    <x v="2"/>
    <x v="0"/>
    <x v="3"/>
    <x v="3"/>
    <n v="10"/>
    <x v="1"/>
  </r>
  <r>
    <s v="TX501767"/>
    <x v="0"/>
    <x v="12"/>
    <n v="32.1"/>
    <n v="128.4"/>
    <x v="64"/>
    <d v="2025-03-07T00:00:00"/>
    <s v="M"/>
    <x v="4"/>
    <x v="1"/>
    <x v="0"/>
    <x v="3"/>
    <x v="3"/>
    <n v="10"/>
    <x v="1"/>
  </r>
  <r>
    <s v="TX501768"/>
    <x v="14"/>
    <x v="8"/>
    <n v="12"/>
    <n v="96"/>
    <x v="64"/>
    <d v="2025-03-07T00:00:00"/>
    <s v="M"/>
    <x v="1"/>
    <x v="0"/>
    <x v="0"/>
    <x v="24"/>
    <x v="3"/>
    <n v="10"/>
    <x v="1"/>
  </r>
  <r>
    <s v="TX501769"/>
    <x v="12"/>
    <x v="0"/>
    <n v="64.3"/>
    <n v="64.3"/>
    <x v="64"/>
    <d v="2025-03-08T00:00:00"/>
    <s v="F"/>
    <x v="2"/>
    <x v="2"/>
    <x v="0"/>
    <x v="6"/>
    <x v="1"/>
    <n v="10"/>
    <x v="2"/>
  </r>
  <r>
    <s v="TX501770"/>
    <x v="1"/>
    <x v="2"/>
    <n v="58.2"/>
    <n v="174.60000000000002"/>
    <x v="64"/>
    <d v="2025-03-08T00:00:00"/>
    <s v="F"/>
    <x v="1"/>
    <x v="2"/>
    <x v="0"/>
    <x v="6"/>
    <x v="1"/>
    <n v="10"/>
    <x v="2"/>
  </r>
  <r>
    <s v="TX501771"/>
    <x v="6"/>
    <x v="12"/>
    <n v="59.2"/>
    <n v="236.8"/>
    <x v="64"/>
    <d v="2025-03-06T00:00:00"/>
    <s v="M"/>
    <x v="1"/>
    <x v="2"/>
    <x v="0"/>
    <x v="6"/>
    <x v="7"/>
    <n v="10"/>
    <x v="1"/>
  </r>
  <r>
    <s v="TX501772"/>
    <x v="10"/>
    <x v="5"/>
    <n v="35.6"/>
    <n v="391.6"/>
    <x v="64"/>
    <d v="2025-03-13T00:00:00"/>
    <s v="M"/>
    <x v="0"/>
    <x v="2"/>
    <x v="0"/>
    <x v="8"/>
    <x v="6"/>
    <n v="10"/>
    <x v="1"/>
  </r>
  <r>
    <s v="TX501773"/>
    <x v="16"/>
    <x v="8"/>
    <n v="37"/>
    <n v="296"/>
    <x v="64"/>
    <d v="2025-03-10T00:00:00"/>
    <s v="F"/>
    <x v="2"/>
    <x v="1"/>
    <x v="0"/>
    <x v="8"/>
    <x v="5"/>
    <n v="10"/>
    <x v="2"/>
  </r>
  <r>
    <s v="TX501774"/>
    <x v="1"/>
    <x v="15"/>
    <n v="80.8"/>
    <n v="1050.3999999999999"/>
    <x v="64"/>
    <d v="2025-03-08T00:00:00"/>
    <s v="F"/>
    <x v="0"/>
    <x v="0"/>
    <x v="0"/>
    <x v="8"/>
    <x v="1"/>
    <n v="10"/>
    <x v="2"/>
  </r>
  <r>
    <s v="TX501775"/>
    <x v="8"/>
    <x v="1"/>
    <n v="63.2"/>
    <n v="126.4"/>
    <x v="64"/>
    <d v="2025-03-07T00:00:00"/>
    <s v="M"/>
    <x v="0"/>
    <x v="1"/>
    <x v="0"/>
    <x v="8"/>
    <x v="3"/>
    <n v="10"/>
    <x v="1"/>
  </r>
  <r>
    <s v="TX501776"/>
    <x v="3"/>
    <x v="1"/>
    <n v="40.799999999999997"/>
    <n v="81.599999999999994"/>
    <x v="64"/>
    <d v="2025-03-08T00:00:00"/>
    <s v="M"/>
    <x v="0"/>
    <x v="1"/>
    <x v="0"/>
    <x v="17"/>
    <x v="1"/>
    <n v="10"/>
    <x v="1"/>
  </r>
  <r>
    <s v="TX501777"/>
    <x v="13"/>
    <x v="13"/>
    <n v="25.7"/>
    <n v="154.19999999999999"/>
    <x v="64"/>
    <d v="2025-03-08T00:00:00"/>
    <s v="M"/>
    <x v="4"/>
    <x v="0"/>
    <x v="0"/>
    <x v="18"/>
    <x v="1"/>
    <n v="10"/>
    <x v="1"/>
  </r>
  <r>
    <s v="TX501778"/>
    <x v="16"/>
    <x v="1"/>
    <n v="49.9"/>
    <n v="99.8"/>
    <x v="64"/>
    <d v="2025-03-09T00:00:00"/>
    <s v="M"/>
    <x v="0"/>
    <x v="0"/>
    <x v="0"/>
    <x v="20"/>
    <x v="2"/>
    <n v="10"/>
    <x v="1"/>
  </r>
  <r>
    <s v="TX501779"/>
    <x v="8"/>
    <x v="1"/>
    <n v="20.2"/>
    <n v="40.4"/>
    <x v="64"/>
    <d v="2025-03-08T00:00:00"/>
    <s v="F"/>
    <x v="3"/>
    <x v="0"/>
    <x v="0"/>
    <x v="21"/>
    <x v="1"/>
    <n v="10"/>
    <x v="2"/>
  </r>
  <r>
    <s v="TX501780"/>
    <x v="6"/>
    <x v="2"/>
    <n v="48.4"/>
    <n v="145.19999999999999"/>
    <x v="64"/>
    <d v="2025-03-11T00:00:00"/>
    <s v="F"/>
    <x v="0"/>
    <x v="2"/>
    <x v="0"/>
    <x v="21"/>
    <x v="0"/>
    <n v="10"/>
    <x v="2"/>
  </r>
  <r>
    <s v="TX501781"/>
    <x v="6"/>
    <x v="1"/>
    <n v="81"/>
    <n v="162"/>
    <x v="64"/>
    <d v="2025-03-07T00:00:00"/>
    <s v="F"/>
    <x v="1"/>
    <x v="2"/>
    <x v="0"/>
    <x v="21"/>
    <x v="3"/>
    <n v="10"/>
    <x v="2"/>
  </r>
  <r>
    <s v="TX501782"/>
    <x v="8"/>
    <x v="13"/>
    <n v="19.899999999999999"/>
    <n v="119.39999999999999"/>
    <x v="64"/>
    <d v="2025-03-09T00:00:00"/>
    <s v="F"/>
    <x v="0"/>
    <x v="1"/>
    <x v="0"/>
    <x v="22"/>
    <x v="2"/>
    <n v="10"/>
    <x v="2"/>
  </r>
  <r>
    <s v="TX501783"/>
    <x v="4"/>
    <x v="12"/>
    <n v="32.200000000000003"/>
    <n v="128.80000000000001"/>
    <x v="64"/>
    <d v="2025-03-16T00:00:00"/>
    <s v="M"/>
    <x v="0"/>
    <x v="0"/>
    <x v="0"/>
    <x v="22"/>
    <x v="14"/>
    <n v="10"/>
    <x v="1"/>
  </r>
  <r>
    <s v="TX501784"/>
    <x v="5"/>
    <x v="2"/>
    <n v="76.8"/>
    <n v="230.39999999999998"/>
    <x v="64"/>
    <d v="2025-03-07T00:00:00"/>
    <s v="F"/>
    <x v="0"/>
    <x v="1"/>
    <x v="0"/>
    <x v="3"/>
    <x v="3"/>
    <n v="10"/>
    <x v="2"/>
  </r>
  <r>
    <s v="TX501785"/>
    <x v="6"/>
    <x v="1"/>
    <n v="41.9"/>
    <n v="83.8"/>
    <x v="64"/>
    <d v="2025-03-08T00:00:00"/>
    <s v="F"/>
    <x v="0"/>
    <x v="0"/>
    <x v="0"/>
    <x v="3"/>
    <x v="1"/>
    <n v="10"/>
    <x v="2"/>
  </r>
  <r>
    <s v="TX501786"/>
    <x v="0"/>
    <x v="3"/>
    <n v="34"/>
    <n v="238"/>
    <x v="64"/>
    <d v="2025-03-08T00:00:00"/>
    <s v="F"/>
    <x v="1"/>
    <x v="2"/>
    <x v="0"/>
    <x v="3"/>
    <x v="1"/>
    <n v="10"/>
    <x v="2"/>
  </r>
  <r>
    <s v="TX501787"/>
    <x v="7"/>
    <x v="3"/>
    <n v="61.3"/>
    <n v="429.09999999999997"/>
    <x v="64"/>
    <d v="2025-03-06T00:00:00"/>
    <s v="F"/>
    <x v="4"/>
    <x v="2"/>
    <x v="0"/>
    <x v="3"/>
    <x v="7"/>
    <n v="10"/>
    <x v="2"/>
  </r>
  <r>
    <s v="TX501788"/>
    <x v="9"/>
    <x v="0"/>
    <n v="54.7"/>
    <n v="54.7"/>
    <x v="65"/>
    <d v="2025-03-08T00:00:00"/>
    <s v="M"/>
    <x v="0"/>
    <x v="1"/>
    <x v="0"/>
    <x v="3"/>
    <x v="3"/>
    <n v="10"/>
    <x v="1"/>
  </r>
  <r>
    <s v="TX501789"/>
    <x v="6"/>
    <x v="7"/>
    <n v="84.7"/>
    <n v="847"/>
    <x v="65"/>
    <d v="2025-03-11T00:00:00"/>
    <s v="F"/>
    <x v="0"/>
    <x v="0"/>
    <x v="0"/>
    <x v="3"/>
    <x v="5"/>
    <n v="10"/>
    <x v="2"/>
  </r>
  <r>
    <s v="TX501790"/>
    <x v="1"/>
    <x v="2"/>
    <n v="93.4"/>
    <n v="280.20000000000005"/>
    <x v="65"/>
    <d v="2025-03-11T00:00:00"/>
    <s v="F"/>
    <x v="3"/>
    <x v="0"/>
    <x v="0"/>
    <x v="3"/>
    <x v="5"/>
    <n v="10"/>
    <x v="2"/>
  </r>
  <r>
    <s v="TX501791"/>
    <x v="8"/>
    <x v="9"/>
    <n v="27"/>
    <n v="135"/>
    <x v="65"/>
    <d v="2025-03-10T00:00:00"/>
    <s v="M"/>
    <x v="0"/>
    <x v="1"/>
    <x v="0"/>
    <x v="3"/>
    <x v="2"/>
    <n v="10"/>
    <x v="1"/>
  </r>
  <r>
    <s v="TX501792"/>
    <x v="0"/>
    <x v="12"/>
    <n v="10.9"/>
    <n v="43.6"/>
    <x v="65"/>
    <d v="2025-03-08T00:00:00"/>
    <s v="M"/>
    <x v="2"/>
    <x v="0"/>
    <x v="0"/>
    <x v="3"/>
    <x v="3"/>
    <n v="10"/>
    <x v="1"/>
  </r>
  <r>
    <s v="TX501793"/>
    <x v="16"/>
    <x v="2"/>
    <n v="48"/>
    <n v="144"/>
    <x v="65"/>
    <d v="2025-03-12T00:00:00"/>
    <s v="F"/>
    <x v="4"/>
    <x v="0"/>
    <x v="0"/>
    <x v="3"/>
    <x v="0"/>
    <n v="10"/>
    <x v="2"/>
  </r>
  <r>
    <s v="TX501794"/>
    <x v="5"/>
    <x v="1"/>
    <n v="67.900000000000006"/>
    <n v="135.80000000000001"/>
    <x v="65"/>
    <d v="2025-03-08T00:00:00"/>
    <s v="M"/>
    <x v="0"/>
    <x v="2"/>
    <x v="0"/>
    <x v="23"/>
    <x v="3"/>
    <n v="10"/>
    <x v="1"/>
  </r>
  <r>
    <s v="TX501795"/>
    <x v="4"/>
    <x v="2"/>
    <n v="36"/>
    <n v="108"/>
    <x v="65"/>
    <d v="2025-03-08T00:00:00"/>
    <s v="M"/>
    <x v="1"/>
    <x v="0"/>
    <x v="0"/>
    <x v="6"/>
    <x v="3"/>
    <n v="10"/>
    <x v="1"/>
  </r>
  <r>
    <s v="TX501796"/>
    <x v="2"/>
    <x v="0"/>
    <n v="128.80000000000001"/>
    <n v="128.80000000000001"/>
    <x v="65"/>
    <d v="2025-03-08T00:00:00"/>
    <s v="M"/>
    <x v="4"/>
    <x v="2"/>
    <x v="0"/>
    <x v="6"/>
    <x v="3"/>
    <n v="10"/>
    <x v="1"/>
  </r>
  <r>
    <s v="TX501797"/>
    <x v="18"/>
    <x v="3"/>
    <n v="33.299999999999997"/>
    <n v="233.09999999999997"/>
    <x v="65"/>
    <d v="2025-03-08T00:00:00"/>
    <s v="F"/>
    <x v="3"/>
    <x v="0"/>
    <x v="0"/>
    <x v="8"/>
    <x v="3"/>
    <n v="10"/>
    <x v="2"/>
  </r>
  <r>
    <s v="TX501798"/>
    <x v="10"/>
    <x v="2"/>
    <n v="37.799999999999997"/>
    <n v="113.39999999999999"/>
    <x v="65"/>
    <d v="2025-03-09T00:00:00"/>
    <s v="M"/>
    <x v="1"/>
    <x v="2"/>
    <x v="0"/>
    <x v="8"/>
    <x v="1"/>
    <n v="10"/>
    <x v="1"/>
  </r>
  <r>
    <s v="TX501799"/>
    <x v="5"/>
    <x v="2"/>
    <n v="26"/>
    <n v="78"/>
    <x v="65"/>
    <d v="2025-03-12T00:00:00"/>
    <s v="F"/>
    <x v="0"/>
    <x v="0"/>
    <x v="0"/>
    <x v="8"/>
    <x v="0"/>
    <n v="10"/>
    <x v="2"/>
  </r>
  <r>
    <s v="TX501800"/>
    <x v="8"/>
    <x v="10"/>
    <n v="28.3"/>
    <n v="537.70000000000005"/>
    <x v="65"/>
    <d v="2025-03-08T00:00:00"/>
    <s v="F"/>
    <x v="3"/>
    <x v="4"/>
    <x v="0"/>
    <x v="8"/>
    <x v="3"/>
    <n v="10"/>
    <x v="2"/>
  </r>
  <r>
    <s v="TX501801"/>
    <x v="8"/>
    <x v="12"/>
    <n v="31.3"/>
    <n v="125.2"/>
    <x v="65"/>
    <d v="2025-03-07T00:00:00"/>
    <s v="F"/>
    <x v="0"/>
    <x v="0"/>
    <x v="0"/>
    <x v="8"/>
    <x v="7"/>
    <n v="10"/>
    <x v="2"/>
  </r>
  <r>
    <s v="TX501802"/>
    <x v="7"/>
    <x v="2"/>
    <n v="69.5"/>
    <n v="208.5"/>
    <x v="65"/>
    <d v="2025-03-08T00:00:00"/>
    <s v="F"/>
    <x v="3"/>
    <x v="2"/>
    <x v="0"/>
    <x v="8"/>
    <x v="3"/>
    <n v="10"/>
    <x v="2"/>
  </r>
  <r>
    <s v="TX501803"/>
    <x v="0"/>
    <x v="1"/>
    <n v="16.7"/>
    <n v="33.4"/>
    <x v="65"/>
    <d v="2025-03-08T00:00:00"/>
    <s v="F"/>
    <x v="3"/>
    <x v="1"/>
    <x v="0"/>
    <x v="8"/>
    <x v="3"/>
    <n v="10"/>
    <x v="2"/>
  </r>
  <r>
    <s v="TX501804"/>
    <x v="9"/>
    <x v="1"/>
    <n v="62.6"/>
    <n v="125.2"/>
    <x v="65"/>
    <d v="2025-03-08T00:00:00"/>
    <s v="M"/>
    <x v="2"/>
    <x v="2"/>
    <x v="0"/>
    <x v="9"/>
    <x v="3"/>
    <n v="10"/>
    <x v="1"/>
  </r>
  <r>
    <s v="TX501805"/>
    <x v="7"/>
    <x v="0"/>
    <n v="81.2"/>
    <n v="81.2"/>
    <x v="65"/>
    <d v="2025-03-13T00:00:00"/>
    <s v="M"/>
    <x v="4"/>
    <x v="4"/>
    <x v="0"/>
    <x v="9"/>
    <x v="4"/>
    <n v="10"/>
    <x v="1"/>
  </r>
  <r>
    <s v="TX501806"/>
    <x v="0"/>
    <x v="7"/>
    <n v="12.7"/>
    <n v="127"/>
    <x v="65"/>
    <d v="2025-03-08T00:00:00"/>
    <s v="F"/>
    <x v="0"/>
    <x v="2"/>
    <x v="0"/>
    <x v="9"/>
    <x v="3"/>
    <n v="10"/>
    <x v="2"/>
  </r>
  <r>
    <s v="TX501807"/>
    <x v="7"/>
    <x v="12"/>
    <n v="77.7"/>
    <n v="310.8"/>
    <x v="66"/>
    <d v="2025-03-12T00:00:00"/>
    <s v="M"/>
    <x v="1"/>
    <x v="0"/>
    <x v="0"/>
    <x v="11"/>
    <x v="5"/>
    <n v="10"/>
    <x v="1"/>
  </r>
  <r>
    <s v="TX501808"/>
    <x v="5"/>
    <x v="1"/>
    <n v="37.299999999999997"/>
    <n v="74.599999999999994"/>
    <x v="66"/>
    <d v="2025-03-09T00:00:00"/>
    <s v="F"/>
    <x v="0"/>
    <x v="2"/>
    <x v="0"/>
    <x v="18"/>
    <x v="3"/>
    <n v="10"/>
    <x v="2"/>
  </r>
  <r>
    <s v="TX501809"/>
    <x v="10"/>
    <x v="12"/>
    <n v="35.6"/>
    <n v="142.4"/>
    <x v="66"/>
    <d v="2025-03-10T00:00:00"/>
    <s v="F"/>
    <x v="1"/>
    <x v="1"/>
    <x v="0"/>
    <x v="19"/>
    <x v="1"/>
    <n v="10"/>
    <x v="2"/>
  </r>
  <r>
    <s v="TX501810"/>
    <x v="2"/>
    <x v="2"/>
    <n v="95"/>
    <n v="285"/>
    <x v="66"/>
    <d v="2025-03-12T00:00:00"/>
    <s v="F"/>
    <x v="2"/>
    <x v="2"/>
    <x v="0"/>
    <x v="56"/>
    <x v="5"/>
    <n v="10"/>
    <x v="2"/>
  </r>
  <r>
    <s v="TX501811"/>
    <x v="2"/>
    <x v="12"/>
    <n v="172.1"/>
    <n v="688.4"/>
    <x v="66"/>
    <d v="2025-03-12T00:00:00"/>
    <s v="O"/>
    <x v="2"/>
    <x v="2"/>
    <x v="0"/>
    <x v="21"/>
    <x v="5"/>
    <n v="10"/>
    <x v="3"/>
  </r>
  <r>
    <s v="TX501812"/>
    <x v="2"/>
    <x v="1"/>
    <n v="233"/>
    <n v="466"/>
    <x v="66"/>
    <d v="2025-03-11T00:00:00"/>
    <s v="F"/>
    <x v="1"/>
    <x v="0"/>
    <x v="0"/>
    <x v="21"/>
    <x v="2"/>
    <n v="10"/>
    <x v="2"/>
  </r>
  <r>
    <s v="TX501813"/>
    <x v="0"/>
    <x v="0"/>
    <n v="43.5"/>
    <n v="43.5"/>
    <x v="66"/>
    <d v="2025-03-09T00:00:00"/>
    <s v="F"/>
    <x v="2"/>
    <x v="2"/>
    <x v="0"/>
    <x v="21"/>
    <x v="3"/>
    <n v="10"/>
    <x v="2"/>
  </r>
  <r>
    <s v="TX501814"/>
    <x v="9"/>
    <x v="1"/>
    <n v="47.8"/>
    <n v="95.6"/>
    <x v="66"/>
    <d v="2025-03-11T00:00:00"/>
    <s v="M"/>
    <x v="4"/>
    <x v="2"/>
    <x v="0"/>
    <x v="1"/>
    <x v="2"/>
    <n v="10"/>
    <x v="1"/>
  </r>
  <r>
    <s v="TX501815"/>
    <x v="12"/>
    <x v="1"/>
    <n v="65.8"/>
    <n v="131.6"/>
    <x v="66"/>
    <d v="2025-03-10T00:00:00"/>
    <s v="F"/>
    <x v="0"/>
    <x v="3"/>
    <x v="0"/>
    <x v="33"/>
    <x v="1"/>
    <n v="10"/>
    <x v="2"/>
  </r>
  <r>
    <s v="TX501816"/>
    <x v="15"/>
    <x v="5"/>
    <n v="38.700000000000003"/>
    <n v="425.70000000000005"/>
    <x v="66"/>
    <d v="2025-03-08T00:00:00"/>
    <s v="M"/>
    <x v="0"/>
    <x v="0"/>
    <x v="0"/>
    <x v="22"/>
    <x v="7"/>
    <n v="10"/>
    <x v="1"/>
  </r>
  <r>
    <s v="TX501817"/>
    <x v="3"/>
    <x v="12"/>
    <n v="55.7"/>
    <n v="222.8"/>
    <x v="66"/>
    <d v="2025-03-10T00:00:00"/>
    <s v="O"/>
    <x v="0"/>
    <x v="1"/>
    <x v="0"/>
    <x v="22"/>
    <x v="1"/>
    <n v="10"/>
    <x v="3"/>
  </r>
  <r>
    <s v="TX501818"/>
    <x v="7"/>
    <x v="1"/>
    <n v="102.4"/>
    <n v="204.8"/>
    <x v="66"/>
    <d v="2025-03-08T00:00:00"/>
    <s v="F"/>
    <x v="1"/>
    <x v="0"/>
    <x v="0"/>
    <x v="3"/>
    <x v="7"/>
    <n v="10"/>
    <x v="2"/>
  </r>
  <r>
    <s v="TX501819"/>
    <x v="1"/>
    <x v="0"/>
    <n v="92"/>
    <n v="92"/>
    <x v="66"/>
    <d v="2025-03-12T00:00:00"/>
    <s v=""/>
    <x v="2"/>
    <x v="0"/>
    <x v="0"/>
    <x v="3"/>
    <x v="5"/>
    <n v="10"/>
    <x v="0"/>
  </r>
  <r>
    <s v="TX501820"/>
    <x v="6"/>
    <x v="12"/>
    <n v="75.900000000000006"/>
    <n v="303.60000000000002"/>
    <x v="66"/>
    <d v="2025-03-10T00:00:00"/>
    <s v="F"/>
    <x v="1"/>
    <x v="0"/>
    <x v="0"/>
    <x v="3"/>
    <x v="1"/>
    <n v="10"/>
    <x v="2"/>
  </r>
  <r>
    <s v="TX501821"/>
    <x v="1"/>
    <x v="12"/>
    <n v="36.200000000000003"/>
    <n v="144.80000000000001"/>
    <x v="66"/>
    <d v="2025-03-09T00:00:00"/>
    <s v="F"/>
    <x v="1"/>
    <x v="0"/>
    <x v="0"/>
    <x v="3"/>
    <x v="3"/>
    <n v="10"/>
    <x v="2"/>
  </r>
  <r>
    <s v="TX501822"/>
    <x v="6"/>
    <x v="45"/>
    <n v="83.5"/>
    <n v="7264.5"/>
    <x v="66"/>
    <d v="2025-03-10T00:00:00"/>
    <s v=""/>
    <x v="3"/>
    <x v="0"/>
    <x v="0"/>
    <x v="3"/>
    <x v="1"/>
    <n v="10"/>
    <x v="0"/>
  </r>
  <r>
    <s v="TX501823"/>
    <x v="19"/>
    <x v="4"/>
    <n v="52.4"/>
    <n v="628.79999999999995"/>
    <x v="66"/>
    <d v="2025-03-08T00:00:00"/>
    <s v="M"/>
    <x v="2"/>
    <x v="0"/>
    <x v="0"/>
    <x v="3"/>
    <x v="7"/>
    <n v="10"/>
    <x v="1"/>
  </r>
  <r>
    <s v="TX501824"/>
    <x v="12"/>
    <x v="2"/>
    <n v="69.5"/>
    <n v="208.5"/>
    <x v="66"/>
    <d v="2025-03-09T00:00:00"/>
    <s v="O"/>
    <x v="4"/>
    <x v="0"/>
    <x v="0"/>
    <x v="3"/>
    <x v="3"/>
    <n v="10"/>
    <x v="3"/>
  </r>
  <r>
    <s v="TX501825"/>
    <x v="0"/>
    <x v="0"/>
    <n v="15.5"/>
    <n v="15.5"/>
    <x v="66"/>
    <d v="2025-03-10T00:00:00"/>
    <s v="M"/>
    <x v="0"/>
    <x v="0"/>
    <x v="0"/>
    <x v="3"/>
    <x v="1"/>
    <n v="10"/>
    <x v="1"/>
  </r>
  <r>
    <s v="TX501826"/>
    <x v="4"/>
    <x v="12"/>
    <n v="35.200000000000003"/>
    <n v="140.80000000000001"/>
    <x v="66"/>
    <d v="2025-03-09T00:00:00"/>
    <s v="F"/>
    <x v="2"/>
    <x v="2"/>
    <x v="0"/>
    <x v="3"/>
    <x v="3"/>
    <n v="10"/>
    <x v="2"/>
  </r>
  <r>
    <s v="TX501827"/>
    <x v="8"/>
    <x v="13"/>
    <n v="34.6"/>
    <n v="207.60000000000002"/>
    <x v="66"/>
    <d v="2025-03-09T00:00:00"/>
    <s v=""/>
    <x v="0"/>
    <x v="1"/>
    <x v="0"/>
    <x v="3"/>
    <x v="3"/>
    <n v="10"/>
    <x v="0"/>
  </r>
  <r>
    <s v="TX501828"/>
    <x v="4"/>
    <x v="0"/>
    <n v="21.3"/>
    <n v="21.3"/>
    <x v="67"/>
    <d v="2025-03-10T00:00:00"/>
    <s v="M"/>
    <x v="2"/>
    <x v="1"/>
    <x v="0"/>
    <x v="3"/>
    <x v="3"/>
    <n v="11"/>
    <x v="1"/>
  </r>
  <r>
    <s v="TX501829"/>
    <x v="6"/>
    <x v="1"/>
    <n v="136.5"/>
    <n v="273"/>
    <x v="67"/>
    <d v="2025-03-15T00:00:00"/>
    <s v="F"/>
    <x v="0"/>
    <x v="0"/>
    <x v="0"/>
    <x v="37"/>
    <x v="4"/>
    <n v="11"/>
    <x v="2"/>
  </r>
  <r>
    <s v="TX501830"/>
    <x v="9"/>
    <x v="3"/>
    <n v="30.7"/>
    <n v="214.9"/>
    <x v="67"/>
    <d v="2025-03-10T00:00:00"/>
    <s v="M"/>
    <x v="2"/>
    <x v="2"/>
    <x v="0"/>
    <x v="25"/>
    <x v="3"/>
    <n v="11"/>
    <x v="1"/>
  </r>
  <r>
    <s v="TX501831"/>
    <x v="1"/>
    <x v="1"/>
    <n v="61.6"/>
    <n v="123.2"/>
    <x v="67"/>
    <d v="2025-03-10T00:00:00"/>
    <s v="F"/>
    <x v="2"/>
    <x v="2"/>
    <x v="0"/>
    <x v="23"/>
    <x v="3"/>
    <n v="11"/>
    <x v="2"/>
  </r>
  <r>
    <s v="TX501832"/>
    <x v="6"/>
    <x v="12"/>
    <n v="54.3"/>
    <n v="217.2"/>
    <x v="67"/>
    <d v="2025-03-11T00:00:00"/>
    <s v=""/>
    <x v="4"/>
    <x v="0"/>
    <x v="0"/>
    <x v="7"/>
    <x v="1"/>
    <n v="11"/>
    <x v="0"/>
  </r>
  <r>
    <s v="TX501833"/>
    <x v="1"/>
    <x v="1"/>
    <n v="44.1"/>
    <n v="88.2"/>
    <x v="67"/>
    <d v="2025-03-21T00:00:00"/>
    <s v="F"/>
    <x v="0"/>
    <x v="2"/>
    <x v="0"/>
    <x v="8"/>
    <x v="13"/>
    <n v="11"/>
    <x v="2"/>
  </r>
  <r>
    <s v="TX501834"/>
    <x v="8"/>
    <x v="12"/>
    <n v="43.5"/>
    <n v="174"/>
    <x v="67"/>
    <d v="2025-03-15T00:00:00"/>
    <s v="M"/>
    <x v="3"/>
    <x v="0"/>
    <x v="0"/>
    <x v="8"/>
    <x v="4"/>
    <n v="11"/>
    <x v="1"/>
  </r>
  <r>
    <s v="TX501835"/>
    <x v="8"/>
    <x v="2"/>
    <n v="48.2"/>
    <n v="144.60000000000002"/>
    <x v="67"/>
    <d v="2025-03-13T00:00:00"/>
    <s v="M"/>
    <x v="3"/>
    <x v="1"/>
    <x v="0"/>
    <x v="8"/>
    <x v="5"/>
    <n v="11"/>
    <x v="1"/>
  </r>
  <r>
    <s v="TX501836"/>
    <x v="19"/>
    <x v="0"/>
    <n v="13.7"/>
    <n v="13.7"/>
    <x v="67"/>
    <d v="2025-03-10T00:00:00"/>
    <s v="F"/>
    <x v="2"/>
    <x v="2"/>
    <x v="0"/>
    <x v="8"/>
    <x v="3"/>
    <n v="11"/>
    <x v="2"/>
  </r>
  <r>
    <s v="TX501837"/>
    <x v="2"/>
    <x v="1"/>
    <n v="110.5"/>
    <n v="221"/>
    <x v="67"/>
    <d v="2025-03-10T00:00:00"/>
    <s v="F"/>
    <x v="0"/>
    <x v="1"/>
    <x v="0"/>
    <x v="8"/>
    <x v="3"/>
    <n v="11"/>
    <x v="2"/>
  </r>
  <r>
    <s v="TX501838"/>
    <x v="8"/>
    <x v="2"/>
    <n v="26"/>
    <n v="78"/>
    <x v="67"/>
    <d v="2025-03-14T00:00:00"/>
    <s v="F"/>
    <x v="1"/>
    <x v="1"/>
    <x v="0"/>
    <x v="8"/>
    <x v="0"/>
    <n v="11"/>
    <x v="2"/>
  </r>
  <r>
    <s v="TX501839"/>
    <x v="2"/>
    <x v="7"/>
    <n v="140.69999999999999"/>
    <n v="1407"/>
    <x v="67"/>
    <d v="2025-03-15T00:00:00"/>
    <s v="M"/>
    <x v="3"/>
    <x v="1"/>
    <x v="0"/>
    <x v="8"/>
    <x v="4"/>
    <n v="11"/>
    <x v="1"/>
  </r>
  <r>
    <s v="TX501840"/>
    <x v="17"/>
    <x v="1"/>
    <n v="41.7"/>
    <n v="83.4"/>
    <x v="67"/>
    <d v="2025-03-17T00:00:00"/>
    <s v="F"/>
    <x v="0"/>
    <x v="4"/>
    <x v="0"/>
    <x v="8"/>
    <x v="9"/>
    <n v="11"/>
    <x v="2"/>
  </r>
  <r>
    <s v="TX501841"/>
    <x v="2"/>
    <x v="1"/>
    <n v="135.1"/>
    <n v="270.2"/>
    <x v="67"/>
    <d v="2025-03-10T00:00:00"/>
    <s v="M"/>
    <x v="0"/>
    <x v="2"/>
    <x v="0"/>
    <x v="17"/>
    <x v="3"/>
    <n v="11"/>
    <x v="1"/>
  </r>
  <r>
    <s v="TX501842"/>
    <x v="12"/>
    <x v="32"/>
    <n v="95.5"/>
    <n v="2101"/>
    <x v="67"/>
    <d v="2025-03-10T00:00:00"/>
    <s v="F"/>
    <x v="4"/>
    <x v="4"/>
    <x v="0"/>
    <x v="26"/>
    <x v="3"/>
    <n v="11"/>
    <x v="2"/>
  </r>
  <r>
    <s v="TX501843"/>
    <x v="15"/>
    <x v="0"/>
    <n v="25.5"/>
    <n v="25.5"/>
    <x v="67"/>
    <d v="2025-03-12T00:00:00"/>
    <s v=""/>
    <x v="2"/>
    <x v="2"/>
    <x v="0"/>
    <x v="11"/>
    <x v="2"/>
    <n v="11"/>
    <x v="0"/>
  </r>
  <r>
    <s v="TX501844"/>
    <x v="1"/>
    <x v="0"/>
    <n v="42.6"/>
    <n v="42.6"/>
    <x v="67"/>
    <d v="2025-03-13T00:00:00"/>
    <s v="F"/>
    <x v="0"/>
    <x v="0"/>
    <x v="0"/>
    <x v="11"/>
    <x v="5"/>
    <n v="11"/>
    <x v="2"/>
  </r>
  <r>
    <s v="TX501845"/>
    <x v="8"/>
    <x v="20"/>
    <n v="32.4"/>
    <n v="486"/>
    <x v="67"/>
    <d v="2025-03-10T00:00:00"/>
    <s v="M"/>
    <x v="1"/>
    <x v="1"/>
    <x v="0"/>
    <x v="11"/>
    <x v="3"/>
    <n v="11"/>
    <x v="1"/>
  </r>
  <r>
    <s v="TX501846"/>
    <x v="4"/>
    <x v="12"/>
    <n v="20.2"/>
    <n v="80.8"/>
    <x v="67"/>
    <d v="2025-03-10T00:00:00"/>
    <s v="O"/>
    <x v="2"/>
    <x v="0"/>
    <x v="0"/>
    <x v="11"/>
    <x v="3"/>
    <n v="11"/>
    <x v="3"/>
  </r>
  <r>
    <s v="TX501847"/>
    <x v="16"/>
    <x v="2"/>
    <n v="52.5"/>
    <n v="157.5"/>
    <x v="67"/>
    <d v="2025-03-14T00:00:00"/>
    <s v="F"/>
    <x v="4"/>
    <x v="0"/>
    <x v="0"/>
    <x v="18"/>
    <x v="0"/>
    <n v="11"/>
    <x v="2"/>
  </r>
  <r>
    <s v="TX501848"/>
    <x v="2"/>
    <x v="9"/>
    <n v="59.9"/>
    <n v="299.5"/>
    <x v="67"/>
    <d v="2025-03-11T00:00:00"/>
    <s v="F"/>
    <x v="2"/>
    <x v="0"/>
    <x v="0"/>
    <x v="19"/>
    <x v="1"/>
    <n v="11"/>
    <x v="2"/>
  </r>
  <r>
    <s v="TX501849"/>
    <x v="4"/>
    <x v="1"/>
    <n v="53.2"/>
    <n v="106.4"/>
    <x v="67"/>
    <d v="2025-03-10T00:00:00"/>
    <s v="F"/>
    <x v="1"/>
    <x v="3"/>
    <x v="0"/>
    <x v="20"/>
    <x v="3"/>
    <n v="11"/>
    <x v="2"/>
  </r>
  <r>
    <s v="TX501850"/>
    <x v="2"/>
    <x v="1"/>
    <n v="60"/>
    <n v="120"/>
    <x v="67"/>
    <d v="2025-03-15T00:00:00"/>
    <s v="M"/>
    <x v="1"/>
    <x v="2"/>
    <x v="0"/>
    <x v="20"/>
    <x v="4"/>
    <n v="11"/>
    <x v="1"/>
  </r>
  <r>
    <s v="TX501851"/>
    <x v="8"/>
    <x v="2"/>
    <n v="29.3"/>
    <n v="87.9"/>
    <x v="67"/>
    <d v="2025-03-10T00:00:00"/>
    <s v="F"/>
    <x v="4"/>
    <x v="0"/>
    <x v="0"/>
    <x v="13"/>
    <x v="3"/>
    <n v="11"/>
    <x v="2"/>
  </r>
  <r>
    <s v="TX501852"/>
    <x v="12"/>
    <x v="1"/>
    <n v="55.4"/>
    <n v="110.8"/>
    <x v="67"/>
    <d v="2025-03-10T00:00:00"/>
    <s v="F"/>
    <x v="0"/>
    <x v="2"/>
    <x v="0"/>
    <x v="21"/>
    <x v="3"/>
    <n v="11"/>
    <x v="2"/>
  </r>
  <r>
    <s v="TX501853"/>
    <x v="0"/>
    <x v="9"/>
    <n v="20.100000000000001"/>
    <n v="100.5"/>
    <x v="67"/>
    <d v="2025-03-11T00:00:00"/>
    <s v="F"/>
    <x v="1"/>
    <x v="2"/>
    <x v="0"/>
    <x v="21"/>
    <x v="1"/>
    <n v="11"/>
    <x v="2"/>
  </r>
  <r>
    <s v="TX501854"/>
    <x v="14"/>
    <x v="9"/>
    <n v="24"/>
    <n v="120"/>
    <x v="67"/>
    <d v="2025-03-12T00:00:00"/>
    <s v="M"/>
    <x v="2"/>
    <x v="0"/>
    <x v="0"/>
    <x v="1"/>
    <x v="2"/>
    <n v="11"/>
    <x v="1"/>
  </r>
  <r>
    <s v="TX501855"/>
    <x v="8"/>
    <x v="1"/>
    <n v="30.6"/>
    <n v="61.2"/>
    <x v="68"/>
    <d v="2025-03-12T00:00:00"/>
    <s v="F"/>
    <x v="0"/>
    <x v="0"/>
    <x v="0"/>
    <x v="1"/>
    <x v="1"/>
    <n v="11"/>
    <x v="2"/>
  </r>
  <r>
    <s v="TX501856"/>
    <x v="10"/>
    <x v="9"/>
    <n v="33"/>
    <n v="165"/>
    <x v="68"/>
    <d v="2025-03-11T00:00:00"/>
    <s v="M"/>
    <x v="1"/>
    <x v="1"/>
    <x v="0"/>
    <x v="27"/>
    <x v="3"/>
    <n v="11"/>
    <x v="1"/>
  </r>
  <r>
    <s v="TX501857"/>
    <x v="17"/>
    <x v="11"/>
    <n v="42.1"/>
    <n v="378.90000000000003"/>
    <x v="68"/>
    <d v="2025-03-16T00:00:00"/>
    <s v="F"/>
    <x v="2"/>
    <x v="0"/>
    <x v="0"/>
    <x v="44"/>
    <x v="4"/>
    <n v="11"/>
    <x v="2"/>
  </r>
  <r>
    <s v="TX501858"/>
    <x v="6"/>
    <x v="3"/>
    <n v="77.7"/>
    <n v="543.9"/>
    <x v="68"/>
    <d v="2025-03-15T00:00:00"/>
    <s v="F"/>
    <x v="1"/>
    <x v="2"/>
    <x v="0"/>
    <x v="50"/>
    <x v="0"/>
    <n v="11"/>
    <x v="2"/>
  </r>
  <r>
    <s v="TX501859"/>
    <x v="17"/>
    <x v="13"/>
    <n v="22.7"/>
    <n v="136.19999999999999"/>
    <x v="68"/>
    <d v="2025-03-13T00:00:00"/>
    <s v="F"/>
    <x v="2"/>
    <x v="0"/>
    <x v="0"/>
    <x v="3"/>
    <x v="2"/>
    <n v="11"/>
    <x v="2"/>
  </r>
  <r>
    <s v="TX501860"/>
    <x v="2"/>
    <x v="1"/>
    <n v="133"/>
    <n v="266"/>
    <x v="68"/>
    <d v="2025-03-10T00:00:00"/>
    <s v="M"/>
    <x v="2"/>
    <x v="2"/>
    <x v="0"/>
    <x v="3"/>
    <x v="7"/>
    <n v="11"/>
    <x v="1"/>
  </r>
  <r>
    <s v="TX501861"/>
    <x v="0"/>
    <x v="1"/>
    <n v="23.3"/>
    <n v="46.6"/>
    <x v="68"/>
    <d v="2025-03-11T00:00:00"/>
    <s v="M"/>
    <x v="1"/>
    <x v="2"/>
    <x v="0"/>
    <x v="3"/>
    <x v="3"/>
    <n v="11"/>
    <x v="1"/>
  </r>
  <r>
    <s v="TX501862"/>
    <x v="8"/>
    <x v="2"/>
    <n v="20.7"/>
    <n v="62.099999999999994"/>
    <x v="68"/>
    <d v="2025-03-12T00:00:00"/>
    <s v="O"/>
    <x v="0"/>
    <x v="2"/>
    <x v="0"/>
    <x v="3"/>
    <x v="1"/>
    <n v="11"/>
    <x v="3"/>
  </r>
  <r>
    <s v="TX501863"/>
    <x v="12"/>
    <x v="1"/>
    <n v="47"/>
    <n v="94"/>
    <x v="68"/>
    <d v="2025-03-11T00:00:00"/>
    <s v="M"/>
    <x v="1"/>
    <x v="2"/>
    <x v="0"/>
    <x v="3"/>
    <x v="3"/>
    <n v="11"/>
    <x v="1"/>
  </r>
  <r>
    <s v="TX501864"/>
    <x v="12"/>
    <x v="2"/>
    <n v="38.200000000000003"/>
    <n v="114.60000000000001"/>
    <x v="68"/>
    <d v="2025-03-12T00:00:00"/>
    <s v="F"/>
    <x v="2"/>
    <x v="4"/>
    <x v="0"/>
    <x v="3"/>
    <x v="1"/>
    <n v="11"/>
    <x v="2"/>
  </r>
  <r>
    <s v="TX501865"/>
    <x v="9"/>
    <x v="0"/>
    <n v="39.1"/>
    <n v="39.1"/>
    <x v="68"/>
    <d v="2025-03-12T00:00:00"/>
    <s v="F"/>
    <x v="0"/>
    <x v="0"/>
    <x v="0"/>
    <x v="3"/>
    <x v="1"/>
    <n v="11"/>
    <x v="2"/>
  </r>
  <r>
    <s v="TX501866"/>
    <x v="7"/>
    <x v="30"/>
    <n v="55.6"/>
    <n v="1390"/>
    <x v="68"/>
    <d v="2025-03-12T00:00:00"/>
    <s v="M"/>
    <x v="0"/>
    <x v="2"/>
    <x v="0"/>
    <x v="3"/>
    <x v="1"/>
    <n v="11"/>
    <x v="1"/>
  </r>
  <r>
    <s v="TX501867"/>
    <x v="15"/>
    <x v="0"/>
    <n v="43.1"/>
    <n v="43.1"/>
    <x v="68"/>
    <d v="2025-03-10T00:00:00"/>
    <s v="O"/>
    <x v="1"/>
    <x v="2"/>
    <x v="0"/>
    <x v="3"/>
    <x v="7"/>
    <n v="11"/>
    <x v="3"/>
  </r>
  <r>
    <s v="TX501868"/>
    <x v="6"/>
    <x v="12"/>
    <n v="48.1"/>
    <n v="192.4"/>
    <x v="68"/>
    <d v="2025-03-11T00:00:00"/>
    <s v="F"/>
    <x v="4"/>
    <x v="2"/>
    <x v="0"/>
    <x v="3"/>
    <x v="3"/>
    <n v="11"/>
    <x v="2"/>
  </r>
  <r>
    <s v="TX501869"/>
    <x v="4"/>
    <x v="0"/>
    <n v="42"/>
    <n v="42"/>
    <x v="68"/>
    <d v="2025-03-11T00:00:00"/>
    <s v="O"/>
    <x v="0"/>
    <x v="0"/>
    <x v="0"/>
    <x v="3"/>
    <x v="3"/>
    <n v="11"/>
    <x v="3"/>
  </r>
  <r>
    <s v="TX501870"/>
    <x v="8"/>
    <x v="9"/>
    <n v="18.3"/>
    <n v="91.5"/>
    <x v="68"/>
    <d v="2025-03-10T00:00:00"/>
    <s v="F"/>
    <x v="2"/>
    <x v="0"/>
    <x v="0"/>
    <x v="3"/>
    <x v="7"/>
    <n v="11"/>
    <x v="2"/>
  </r>
  <r>
    <s v="TX501871"/>
    <x v="10"/>
    <x v="12"/>
    <n v="45.3"/>
    <n v="181.2"/>
    <x v="68"/>
    <d v="2025-03-13T00:00:00"/>
    <s v="F"/>
    <x v="0"/>
    <x v="2"/>
    <x v="0"/>
    <x v="3"/>
    <x v="2"/>
    <n v="11"/>
    <x v="2"/>
  </r>
  <r>
    <s v="TX501872"/>
    <x v="0"/>
    <x v="1"/>
    <n v="27.6"/>
    <n v="55.2"/>
    <x v="68"/>
    <d v="2025-03-12T00:00:00"/>
    <s v="M"/>
    <x v="0"/>
    <x v="2"/>
    <x v="0"/>
    <x v="37"/>
    <x v="1"/>
    <n v="11"/>
    <x v="1"/>
  </r>
  <r>
    <s v="TX501873"/>
    <x v="4"/>
    <x v="9"/>
    <n v="26.9"/>
    <n v="134.5"/>
    <x v="68"/>
    <d v="2025-03-11T00:00:00"/>
    <s v="F"/>
    <x v="2"/>
    <x v="0"/>
    <x v="0"/>
    <x v="25"/>
    <x v="3"/>
    <n v="11"/>
    <x v="2"/>
  </r>
  <r>
    <s v="TX501874"/>
    <x v="2"/>
    <x v="11"/>
    <n v="82.4"/>
    <n v="741.6"/>
    <x v="68"/>
    <d v="2025-03-12T00:00:00"/>
    <s v="O"/>
    <x v="2"/>
    <x v="0"/>
    <x v="0"/>
    <x v="5"/>
    <x v="1"/>
    <n v="11"/>
    <x v="3"/>
  </r>
  <r>
    <s v="TX501875"/>
    <x v="6"/>
    <x v="0"/>
    <n v="103.7"/>
    <n v="103.7"/>
    <x v="68"/>
    <d v="2025-03-12T00:00:00"/>
    <s v="F"/>
    <x v="1"/>
    <x v="0"/>
    <x v="0"/>
    <x v="5"/>
    <x v="1"/>
    <n v="11"/>
    <x v="2"/>
  </r>
  <r>
    <s v="TX501876"/>
    <x v="2"/>
    <x v="1"/>
    <n v="58.8"/>
    <n v="117.6"/>
    <x v="68"/>
    <d v="2025-03-15T00:00:00"/>
    <s v="F"/>
    <x v="1"/>
    <x v="2"/>
    <x v="0"/>
    <x v="6"/>
    <x v="0"/>
    <n v="11"/>
    <x v="2"/>
  </r>
  <r>
    <s v="TX501877"/>
    <x v="13"/>
    <x v="0"/>
    <n v="31.5"/>
    <n v="31.5"/>
    <x v="68"/>
    <d v="2025-03-11T00:00:00"/>
    <s v="F"/>
    <x v="1"/>
    <x v="1"/>
    <x v="0"/>
    <x v="6"/>
    <x v="3"/>
    <n v="11"/>
    <x v="2"/>
  </r>
  <r>
    <s v="TX501878"/>
    <x v="7"/>
    <x v="9"/>
    <n v="36.799999999999997"/>
    <n v="184"/>
    <x v="68"/>
    <d v="2025-03-12T00:00:00"/>
    <s v="F"/>
    <x v="0"/>
    <x v="0"/>
    <x v="0"/>
    <x v="8"/>
    <x v="1"/>
    <n v="11"/>
    <x v="2"/>
  </r>
  <r>
    <s v="TX501879"/>
    <x v="3"/>
    <x v="0"/>
    <n v="84.4"/>
    <n v="84.4"/>
    <x v="68"/>
    <d v="2025-03-11T00:00:00"/>
    <s v="F"/>
    <x v="0"/>
    <x v="0"/>
    <x v="0"/>
    <x v="8"/>
    <x v="3"/>
    <n v="11"/>
    <x v="2"/>
  </r>
  <r>
    <s v="TX501880"/>
    <x v="14"/>
    <x v="0"/>
    <n v="44.7"/>
    <n v="44.7"/>
    <x v="68"/>
    <d v="2025-03-11T00:00:00"/>
    <s v="M"/>
    <x v="0"/>
    <x v="1"/>
    <x v="0"/>
    <x v="8"/>
    <x v="3"/>
    <n v="11"/>
    <x v="1"/>
  </r>
  <r>
    <s v="TX501881"/>
    <x v="9"/>
    <x v="8"/>
    <n v="39.4"/>
    <n v="315.2"/>
    <x v="68"/>
    <d v="2025-03-11T00:00:00"/>
    <s v="F"/>
    <x v="1"/>
    <x v="2"/>
    <x v="0"/>
    <x v="8"/>
    <x v="3"/>
    <n v="11"/>
    <x v="2"/>
  </r>
  <r>
    <s v="TX501882"/>
    <x v="11"/>
    <x v="12"/>
    <n v="34.9"/>
    <n v="139.6"/>
    <x v="68"/>
    <d v="2025-03-12T00:00:00"/>
    <s v="F"/>
    <x v="0"/>
    <x v="2"/>
    <x v="0"/>
    <x v="8"/>
    <x v="1"/>
    <n v="11"/>
    <x v="2"/>
  </r>
  <r>
    <s v="TX501883"/>
    <x v="1"/>
    <x v="2"/>
    <n v="62.3"/>
    <n v="186.89999999999998"/>
    <x v="68"/>
    <d v="2025-03-12T00:00:00"/>
    <s v="M"/>
    <x v="4"/>
    <x v="2"/>
    <x v="0"/>
    <x v="8"/>
    <x v="1"/>
    <n v="11"/>
    <x v="1"/>
  </r>
  <r>
    <s v="TX501884"/>
    <x v="8"/>
    <x v="12"/>
    <n v="21.1"/>
    <n v="84.4"/>
    <x v="68"/>
    <d v="2025-03-13T00:00:00"/>
    <s v="M"/>
    <x v="3"/>
    <x v="0"/>
    <x v="0"/>
    <x v="8"/>
    <x v="2"/>
    <n v="11"/>
    <x v="1"/>
  </r>
  <r>
    <s v="TX501885"/>
    <x v="8"/>
    <x v="2"/>
    <n v="33.200000000000003"/>
    <n v="99.600000000000009"/>
    <x v="68"/>
    <d v="2025-03-24T00:00:00"/>
    <s v=""/>
    <x v="0"/>
    <x v="4"/>
    <x v="0"/>
    <x v="8"/>
    <x v="12"/>
    <n v="11"/>
    <x v="0"/>
  </r>
  <r>
    <s v="TX501886"/>
    <x v="1"/>
    <x v="12"/>
    <n v="74.5"/>
    <n v="298"/>
    <x v="68"/>
    <d v="2025-03-11T00:00:00"/>
    <s v="M"/>
    <x v="4"/>
    <x v="0"/>
    <x v="0"/>
    <x v="8"/>
    <x v="3"/>
    <n v="11"/>
    <x v="1"/>
  </r>
  <r>
    <s v="TX501887"/>
    <x v="10"/>
    <x v="4"/>
    <n v="68.599999999999994"/>
    <n v="823.19999999999993"/>
    <x v="68"/>
    <d v="2025-03-13T00:00:00"/>
    <s v="F"/>
    <x v="0"/>
    <x v="2"/>
    <x v="0"/>
    <x v="8"/>
    <x v="2"/>
    <n v="11"/>
    <x v="2"/>
  </r>
  <r>
    <s v="TX501888"/>
    <x v="5"/>
    <x v="21"/>
    <n v="36.4"/>
    <n v="509.59999999999997"/>
    <x v="68"/>
    <d v="2025-03-12T00:00:00"/>
    <s v="F"/>
    <x v="0"/>
    <x v="1"/>
    <x v="0"/>
    <x v="9"/>
    <x v="1"/>
    <n v="11"/>
    <x v="2"/>
  </r>
  <r>
    <s v="TX501889"/>
    <x v="16"/>
    <x v="9"/>
    <n v="67.599999999999994"/>
    <n v="338"/>
    <x v="69"/>
    <d v="2025-03-14T00:00:00"/>
    <s v="F"/>
    <x v="4"/>
    <x v="1"/>
    <x v="0"/>
    <x v="9"/>
    <x v="2"/>
    <n v="11"/>
    <x v="2"/>
  </r>
  <r>
    <s v="TX501890"/>
    <x v="15"/>
    <x v="0"/>
    <n v="46.3"/>
    <n v="46.3"/>
    <x v="69"/>
    <d v="2025-03-12T00:00:00"/>
    <s v="M"/>
    <x v="2"/>
    <x v="0"/>
    <x v="0"/>
    <x v="9"/>
    <x v="3"/>
    <n v="11"/>
    <x v="1"/>
  </r>
  <r>
    <s v="TX501891"/>
    <x v="1"/>
    <x v="2"/>
    <n v="124.2"/>
    <n v="372.6"/>
    <x v="69"/>
    <d v="2025-03-13T00:00:00"/>
    <s v="F"/>
    <x v="1"/>
    <x v="2"/>
    <x v="0"/>
    <x v="11"/>
    <x v="1"/>
    <n v="11"/>
    <x v="2"/>
  </r>
  <r>
    <s v="TX501892"/>
    <x v="10"/>
    <x v="1"/>
    <n v="37"/>
    <n v="74"/>
    <x v="69"/>
    <d v="2025-03-17T00:00:00"/>
    <s v="M"/>
    <x v="0"/>
    <x v="0"/>
    <x v="0"/>
    <x v="11"/>
    <x v="4"/>
    <n v="11"/>
    <x v="1"/>
  </r>
  <r>
    <s v="TX501893"/>
    <x v="5"/>
    <x v="0"/>
    <n v="41.8"/>
    <n v="41.8"/>
    <x v="69"/>
    <d v="2025-03-12T00:00:00"/>
    <s v="M"/>
    <x v="2"/>
    <x v="0"/>
    <x v="0"/>
    <x v="31"/>
    <x v="3"/>
    <n v="11"/>
    <x v="1"/>
  </r>
  <r>
    <s v="TX501894"/>
    <x v="9"/>
    <x v="1"/>
    <n v="57.2"/>
    <n v="114.4"/>
    <x v="69"/>
    <d v="2025-03-13T00:00:00"/>
    <s v="M"/>
    <x v="2"/>
    <x v="1"/>
    <x v="0"/>
    <x v="20"/>
    <x v="1"/>
    <n v="11"/>
    <x v="1"/>
  </r>
  <r>
    <s v="TX501895"/>
    <x v="6"/>
    <x v="1"/>
    <n v="47.1"/>
    <n v="94.2"/>
    <x v="69"/>
    <d v="2025-03-13T00:00:00"/>
    <s v="F"/>
    <x v="0"/>
    <x v="4"/>
    <x v="0"/>
    <x v="20"/>
    <x v="1"/>
    <n v="11"/>
    <x v="2"/>
  </r>
  <r>
    <s v="TX501896"/>
    <x v="5"/>
    <x v="2"/>
    <n v="86.4"/>
    <n v="259.20000000000005"/>
    <x v="69"/>
    <d v="2025-03-12T00:00:00"/>
    <s v="M"/>
    <x v="2"/>
    <x v="1"/>
    <x v="0"/>
    <x v="52"/>
    <x v="3"/>
    <n v="11"/>
    <x v="1"/>
  </r>
  <r>
    <s v="TX501897"/>
    <x v="6"/>
    <x v="9"/>
    <n v="105"/>
    <n v="525"/>
    <x v="69"/>
    <d v="2025-03-14T00:00:00"/>
    <s v="M"/>
    <x v="0"/>
    <x v="0"/>
    <x v="0"/>
    <x v="13"/>
    <x v="2"/>
    <n v="11"/>
    <x v="1"/>
  </r>
  <r>
    <s v="TX501898"/>
    <x v="18"/>
    <x v="0"/>
    <n v="33"/>
    <n v="33"/>
    <x v="69"/>
    <d v="2025-03-14T00:00:00"/>
    <s v="M"/>
    <x v="4"/>
    <x v="0"/>
    <x v="0"/>
    <x v="21"/>
    <x v="2"/>
    <n v="11"/>
    <x v="1"/>
  </r>
  <r>
    <s v="TX501899"/>
    <x v="6"/>
    <x v="9"/>
    <n v="106.6"/>
    <n v="533"/>
    <x v="69"/>
    <d v="2025-03-24T00:00:00"/>
    <s v="F"/>
    <x v="2"/>
    <x v="0"/>
    <x v="0"/>
    <x v="1"/>
    <x v="10"/>
    <n v="11"/>
    <x v="2"/>
  </r>
  <r>
    <s v="TX501900"/>
    <x v="10"/>
    <x v="46"/>
    <n v="26.8"/>
    <n v="857.6"/>
    <x v="69"/>
    <d v="2025-03-12T00:00:00"/>
    <s v="F"/>
    <x v="2"/>
    <x v="0"/>
    <x v="0"/>
    <x v="1"/>
    <x v="3"/>
    <n v="11"/>
    <x v="2"/>
  </r>
  <r>
    <s v="TX501901"/>
    <x v="17"/>
    <x v="9"/>
    <n v="25.8"/>
    <n v="129"/>
    <x v="69"/>
    <d v="2025-03-11T00:00:00"/>
    <s v="F"/>
    <x v="1"/>
    <x v="2"/>
    <x v="0"/>
    <x v="3"/>
    <x v="7"/>
    <n v="11"/>
    <x v="2"/>
  </r>
  <r>
    <s v="TX501902"/>
    <x v="2"/>
    <x v="2"/>
    <n v="217"/>
    <n v="651"/>
    <x v="69"/>
    <d v="2025-03-12T00:00:00"/>
    <s v="F"/>
    <x v="1"/>
    <x v="1"/>
    <x v="0"/>
    <x v="3"/>
    <x v="3"/>
    <n v="11"/>
    <x v="2"/>
  </r>
  <r>
    <s v="TX501903"/>
    <x v="2"/>
    <x v="1"/>
    <n v="97.3"/>
    <n v="194.6"/>
    <x v="69"/>
    <d v="2025-03-12T00:00:00"/>
    <s v="M"/>
    <x v="2"/>
    <x v="4"/>
    <x v="0"/>
    <x v="3"/>
    <x v="3"/>
    <n v="11"/>
    <x v="1"/>
  </r>
  <r>
    <s v="TX501904"/>
    <x v="1"/>
    <x v="0"/>
    <n v="49.8"/>
    <n v="49.8"/>
    <x v="69"/>
    <d v="2025-03-12T00:00:00"/>
    <s v="F"/>
    <x v="0"/>
    <x v="0"/>
    <x v="0"/>
    <x v="3"/>
    <x v="3"/>
    <n v="11"/>
    <x v="2"/>
  </r>
  <r>
    <s v="TX501905"/>
    <x v="12"/>
    <x v="9"/>
    <n v="32.6"/>
    <n v="163"/>
    <x v="69"/>
    <d v="2025-03-12T00:00:00"/>
    <s v="F"/>
    <x v="0"/>
    <x v="0"/>
    <x v="0"/>
    <x v="3"/>
    <x v="3"/>
    <n v="11"/>
    <x v="2"/>
  </r>
  <r>
    <s v="TX501906"/>
    <x v="9"/>
    <x v="1"/>
    <n v="40.1"/>
    <n v="80.2"/>
    <x v="69"/>
    <d v="2025-03-14T00:00:00"/>
    <s v="M"/>
    <x v="1"/>
    <x v="2"/>
    <x v="0"/>
    <x v="3"/>
    <x v="2"/>
    <n v="11"/>
    <x v="1"/>
  </r>
  <r>
    <s v="TX501907"/>
    <x v="10"/>
    <x v="1"/>
    <n v="49.4"/>
    <n v="98.8"/>
    <x v="69"/>
    <d v="2025-03-13T00:00:00"/>
    <s v="M"/>
    <x v="1"/>
    <x v="0"/>
    <x v="0"/>
    <x v="3"/>
    <x v="1"/>
    <n v="11"/>
    <x v="1"/>
  </r>
  <r>
    <s v="TX501908"/>
    <x v="2"/>
    <x v="0"/>
    <n v="67.3"/>
    <n v="67.3"/>
    <x v="69"/>
    <d v="2025-03-12T00:00:00"/>
    <s v="F"/>
    <x v="0"/>
    <x v="2"/>
    <x v="0"/>
    <x v="3"/>
    <x v="3"/>
    <n v="11"/>
    <x v="2"/>
  </r>
  <r>
    <s v="TX501909"/>
    <x v="18"/>
    <x v="12"/>
    <n v="44.5"/>
    <n v="178"/>
    <x v="69"/>
    <d v="2025-03-14T00:00:00"/>
    <s v=""/>
    <x v="1"/>
    <x v="0"/>
    <x v="0"/>
    <x v="3"/>
    <x v="2"/>
    <n v="11"/>
    <x v="0"/>
  </r>
  <r>
    <s v="TX501910"/>
    <x v="6"/>
    <x v="5"/>
    <n v="111.1"/>
    <n v="1222.0999999999999"/>
    <x v="69"/>
    <d v="2025-03-12T00:00:00"/>
    <s v="F"/>
    <x v="4"/>
    <x v="0"/>
    <x v="0"/>
    <x v="3"/>
    <x v="3"/>
    <n v="11"/>
    <x v="2"/>
  </r>
  <r>
    <s v="TX501911"/>
    <x v="8"/>
    <x v="2"/>
    <n v="19.7"/>
    <n v="59.099999999999994"/>
    <x v="69"/>
    <d v="2025-03-12T00:00:00"/>
    <s v="F"/>
    <x v="4"/>
    <x v="4"/>
    <x v="0"/>
    <x v="3"/>
    <x v="3"/>
    <n v="11"/>
    <x v="2"/>
  </r>
  <r>
    <s v="TX501912"/>
    <x v="1"/>
    <x v="0"/>
    <n v="40.299999999999997"/>
    <n v="40.299999999999997"/>
    <x v="69"/>
    <d v="2025-03-12T00:00:00"/>
    <s v="O"/>
    <x v="1"/>
    <x v="0"/>
    <x v="0"/>
    <x v="3"/>
    <x v="3"/>
    <n v="11"/>
    <x v="3"/>
  </r>
  <r>
    <s v="TX501913"/>
    <x v="6"/>
    <x v="1"/>
    <n v="108.8"/>
    <n v="217.6"/>
    <x v="69"/>
    <d v="2025-03-16T00:00:00"/>
    <s v="M"/>
    <x v="0"/>
    <x v="2"/>
    <x v="0"/>
    <x v="6"/>
    <x v="0"/>
    <n v="11"/>
    <x v="1"/>
  </r>
  <r>
    <s v="TX501914"/>
    <x v="8"/>
    <x v="2"/>
    <n v="48.2"/>
    <n v="144.60000000000002"/>
    <x v="69"/>
    <d v="2025-03-16T00:00:00"/>
    <s v="F"/>
    <x v="4"/>
    <x v="0"/>
    <x v="0"/>
    <x v="7"/>
    <x v="0"/>
    <n v="11"/>
    <x v="2"/>
  </r>
  <r>
    <s v="TX501915"/>
    <x v="2"/>
    <x v="2"/>
    <n v="104.7"/>
    <n v="314.10000000000002"/>
    <x v="69"/>
    <d v="2025-03-13T00:00:00"/>
    <s v="F"/>
    <x v="0"/>
    <x v="1"/>
    <x v="0"/>
    <x v="7"/>
    <x v="1"/>
    <n v="11"/>
    <x v="2"/>
  </r>
  <r>
    <s v="TX501916"/>
    <x v="1"/>
    <x v="1"/>
    <n v="80.599999999999994"/>
    <n v="161.19999999999999"/>
    <x v="69"/>
    <d v="2025-03-11T00:00:00"/>
    <s v="F"/>
    <x v="1"/>
    <x v="0"/>
    <x v="0"/>
    <x v="8"/>
    <x v="7"/>
    <n v="11"/>
    <x v="2"/>
  </r>
  <r>
    <s v="TX501917"/>
    <x v="6"/>
    <x v="0"/>
    <n v="65.5"/>
    <n v="65.5"/>
    <x v="69"/>
    <d v="2025-03-13T00:00:00"/>
    <s v="O"/>
    <x v="1"/>
    <x v="0"/>
    <x v="0"/>
    <x v="8"/>
    <x v="1"/>
    <n v="11"/>
    <x v="3"/>
  </r>
  <r>
    <s v="TX501918"/>
    <x v="9"/>
    <x v="2"/>
    <n v="61.4"/>
    <n v="184.2"/>
    <x v="69"/>
    <d v="2025-03-13T00:00:00"/>
    <s v="F"/>
    <x v="4"/>
    <x v="2"/>
    <x v="0"/>
    <x v="8"/>
    <x v="1"/>
    <n v="11"/>
    <x v="2"/>
  </r>
  <r>
    <s v="TX501919"/>
    <x v="0"/>
    <x v="0"/>
    <n v="12.5"/>
    <n v="12.5"/>
    <x v="70"/>
    <d v="2025-03-15T00:00:00"/>
    <s v="F"/>
    <x v="0"/>
    <x v="1"/>
    <x v="0"/>
    <x v="8"/>
    <x v="2"/>
    <n v="11"/>
    <x v="2"/>
  </r>
  <r>
    <s v="TX501920"/>
    <x v="4"/>
    <x v="12"/>
    <n v="35.1"/>
    <n v="140.4"/>
    <x v="70"/>
    <d v="2025-03-13T00:00:00"/>
    <s v="M"/>
    <x v="2"/>
    <x v="1"/>
    <x v="0"/>
    <x v="17"/>
    <x v="3"/>
    <n v="11"/>
    <x v="1"/>
  </r>
  <r>
    <s v="TX501921"/>
    <x v="5"/>
    <x v="1"/>
    <n v="55.7"/>
    <n v="111.4"/>
    <x v="70"/>
    <d v="2025-03-13T00:00:00"/>
    <s v="M"/>
    <x v="0"/>
    <x v="1"/>
    <x v="0"/>
    <x v="26"/>
    <x v="3"/>
    <n v="11"/>
    <x v="1"/>
  </r>
  <r>
    <s v="TX501922"/>
    <x v="7"/>
    <x v="1"/>
    <n v="57.7"/>
    <n v="115.4"/>
    <x v="70"/>
    <d v="2025-03-14T00:00:00"/>
    <s v="M"/>
    <x v="4"/>
    <x v="1"/>
    <x v="0"/>
    <x v="9"/>
    <x v="1"/>
    <n v="11"/>
    <x v="1"/>
  </r>
  <r>
    <s v="TX501923"/>
    <x v="2"/>
    <x v="13"/>
    <n v="85.7"/>
    <n v="514.20000000000005"/>
    <x v="70"/>
    <d v="2025-03-13T00:00:00"/>
    <s v="M"/>
    <x v="3"/>
    <x v="2"/>
    <x v="0"/>
    <x v="9"/>
    <x v="3"/>
    <n v="11"/>
    <x v="1"/>
  </r>
  <r>
    <s v="TX501924"/>
    <x v="2"/>
    <x v="2"/>
    <n v="86.9"/>
    <n v="260.70000000000005"/>
    <x v="70"/>
    <d v="2025-03-14T00:00:00"/>
    <s v="F"/>
    <x v="1"/>
    <x v="0"/>
    <x v="0"/>
    <x v="11"/>
    <x v="1"/>
    <n v="11"/>
    <x v="2"/>
  </r>
  <r>
    <s v="TX501925"/>
    <x v="18"/>
    <x v="1"/>
    <n v="46.4"/>
    <n v="92.8"/>
    <x v="70"/>
    <d v="2025-03-15T00:00:00"/>
    <s v="F"/>
    <x v="4"/>
    <x v="0"/>
    <x v="0"/>
    <x v="11"/>
    <x v="2"/>
    <n v="11"/>
    <x v="2"/>
  </r>
  <r>
    <s v="TX501926"/>
    <x v="5"/>
    <x v="2"/>
    <n v="25.4"/>
    <n v="76.199999999999989"/>
    <x v="70"/>
    <d v="2025-03-12T00:00:00"/>
    <s v="F"/>
    <x v="2"/>
    <x v="2"/>
    <x v="0"/>
    <x v="18"/>
    <x v="7"/>
    <n v="11"/>
    <x v="2"/>
  </r>
  <r>
    <s v="TX501927"/>
    <x v="10"/>
    <x v="2"/>
    <n v="47.8"/>
    <n v="143.39999999999998"/>
    <x v="70"/>
    <d v="2025-03-12T00:00:00"/>
    <s v=""/>
    <x v="2"/>
    <x v="2"/>
    <x v="0"/>
    <x v="19"/>
    <x v="7"/>
    <n v="11"/>
    <x v="0"/>
  </r>
  <r>
    <s v="TX501928"/>
    <x v="8"/>
    <x v="10"/>
    <n v="18.399999999999999"/>
    <n v="349.59999999999997"/>
    <x v="70"/>
    <d v="2025-03-14T00:00:00"/>
    <s v="O"/>
    <x v="2"/>
    <x v="0"/>
    <x v="0"/>
    <x v="20"/>
    <x v="1"/>
    <n v="11"/>
    <x v="3"/>
  </r>
  <r>
    <s v="TX501929"/>
    <x v="12"/>
    <x v="2"/>
    <n v="65.5"/>
    <n v="196.5"/>
    <x v="70"/>
    <d v="2025-03-20T00:00:00"/>
    <s v="F"/>
    <x v="0"/>
    <x v="0"/>
    <x v="0"/>
    <x v="21"/>
    <x v="9"/>
    <n v="11"/>
    <x v="2"/>
  </r>
  <r>
    <s v="TX501930"/>
    <x v="10"/>
    <x v="1"/>
    <n v="50.6"/>
    <n v="101.2"/>
    <x v="70"/>
    <d v="2025-03-15T00:00:00"/>
    <s v="M"/>
    <x v="2"/>
    <x v="4"/>
    <x v="0"/>
    <x v="21"/>
    <x v="2"/>
    <n v="11"/>
    <x v="1"/>
  </r>
  <r>
    <s v="TX501931"/>
    <x v="3"/>
    <x v="9"/>
    <n v="69"/>
    <n v="345"/>
    <x v="70"/>
    <d v="2025-03-16T00:00:00"/>
    <s v="M"/>
    <x v="3"/>
    <x v="0"/>
    <x v="0"/>
    <x v="21"/>
    <x v="5"/>
    <n v="11"/>
    <x v="1"/>
  </r>
  <r>
    <s v="TX501932"/>
    <x v="9"/>
    <x v="8"/>
    <n v="51.1"/>
    <n v="408.8"/>
    <x v="70"/>
    <d v="2025-03-14T00:00:00"/>
    <s v="F"/>
    <x v="0"/>
    <x v="0"/>
    <x v="0"/>
    <x v="1"/>
    <x v="1"/>
    <n v="11"/>
    <x v="2"/>
  </r>
  <r>
    <s v="TX501933"/>
    <x v="9"/>
    <x v="0"/>
    <n v="36.1"/>
    <n v="36.1"/>
    <x v="70"/>
    <d v="2025-03-13T00:00:00"/>
    <s v="F"/>
    <x v="0"/>
    <x v="2"/>
    <x v="0"/>
    <x v="34"/>
    <x v="3"/>
    <n v="11"/>
    <x v="2"/>
  </r>
  <r>
    <s v="TX501934"/>
    <x v="14"/>
    <x v="0"/>
    <n v="18.7"/>
    <n v="18.7"/>
    <x v="70"/>
    <d v="2025-03-13T00:00:00"/>
    <s v="M"/>
    <x v="0"/>
    <x v="0"/>
    <x v="0"/>
    <x v="3"/>
    <x v="3"/>
    <n v="11"/>
    <x v="1"/>
  </r>
  <r>
    <s v="TX501935"/>
    <x v="17"/>
    <x v="0"/>
    <n v="30.1"/>
    <n v="30.1"/>
    <x v="70"/>
    <d v="2025-03-15T00:00:00"/>
    <s v="F"/>
    <x v="3"/>
    <x v="1"/>
    <x v="0"/>
    <x v="3"/>
    <x v="2"/>
    <n v="11"/>
    <x v="2"/>
  </r>
  <r>
    <s v="TX501936"/>
    <x v="8"/>
    <x v="0"/>
    <n v="16.3"/>
    <n v="16.3"/>
    <x v="70"/>
    <d v="2025-03-13T00:00:00"/>
    <s v="M"/>
    <x v="3"/>
    <x v="0"/>
    <x v="0"/>
    <x v="3"/>
    <x v="3"/>
    <n v="11"/>
    <x v="1"/>
  </r>
  <r>
    <s v="TX501937"/>
    <x v="1"/>
    <x v="2"/>
    <n v="63.8"/>
    <n v="191.39999999999998"/>
    <x v="70"/>
    <d v="2025-03-17T00:00:00"/>
    <s v="F"/>
    <x v="2"/>
    <x v="1"/>
    <x v="0"/>
    <x v="3"/>
    <x v="0"/>
    <n v="11"/>
    <x v="2"/>
  </r>
  <r>
    <s v="TX501938"/>
    <x v="1"/>
    <x v="3"/>
    <n v="73.900000000000006"/>
    <n v="517.30000000000007"/>
    <x v="70"/>
    <d v="2025-03-12T00:00:00"/>
    <s v="F"/>
    <x v="0"/>
    <x v="1"/>
    <x v="0"/>
    <x v="3"/>
    <x v="7"/>
    <n v="11"/>
    <x v="2"/>
  </r>
  <r>
    <s v="TX501939"/>
    <x v="0"/>
    <x v="1"/>
    <n v="20.2"/>
    <n v="40.4"/>
    <x v="70"/>
    <d v="2025-03-13T00:00:00"/>
    <s v="M"/>
    <x v="0"/>
    <x v="1"/>
    <x v="0"/>
    <x v="3"/>
    <x v="3"/>
    <n v="11"/>
    <x v="1"/>
  </r>
  <r>
    <s v="TX501940"/>
    <x v="11"/>
    <x v="5"/>
    <n v="29.5"/>
    <n v="324.5"/>
    <x v="70"/>
    <d v="2025-03-13T00:00:00"/>
    <s v="M"/>
    <x v="0"/>
    <x v="0"/>
    <x v="0"/>
    <x v="3"/>
    <x v="3"/>
    <n v="11"/>
    <x v="1"/>
  </r>
  <r>
    <s v="TX501941"/>
    <x v="15"/>
    <x v="3"/>
    <n v="37.9"/>
    <n v="265.3"/>
    <x v="70"/>
    <d v="2025-03-13T00:00:00"/>
    <s v="M"/>
    <x v="1"/>
    <x v="0"/>
    <x v="0"/>
    <x v="3"/>
    <x v="3"/>
    <n v="11"/>
    <x v="1"/>
  </r>
  <r>
    <s v="TX501942"/>
    <x v="2"/>
    <x v="0"/>
    <n v="56.5"/>
    <n v="56.5"/>
    <x v="70"/>
    <d v="2025-03-13T00:00:00"/>
    <s v="F"/>
    <x v="2"/>
    <x v="1"/>
    <x v="0"/>
    <x v="3"/>
    <x v="3"/>
    <n v="11"/>
    <x v="2"/>
  </r>
  <r>
    <s v="TX501943"/>
    <x v="2"/>
    <x v="1"/>
    <n v="66.900000000000006"/>
    <n v="133.80000000000001"/>
    <x v="70"/>
    <d v="2025-03-18T00:00:00"/>
    <s v="M"/>
    <x v="1"/>
    <x v="4"/>
    <x v="0"/>
    <x v="25"/>
    <x v="4"/>
    <n v="11"/>
    <x v="1"/>
  </r>
  <r>
    <s v="TX501944"/>
    <x v="2"/>
    <x v="9"/>
    <n v="51.9"/>
    <n v="259.5"/>
    <x v="70"/>
    <d v="2025-03-15T00:00:00"/>
    <s v="M"/>
    <x v="1"/>
    <x v="0"/>
    <x v="0"/>
    <x v="7"/>
    <x v="2"/>
    <n v="11"/>
    <x v="1"/>
  </r>
  <r>
    <s v="TX501945"/>
    <x v="2"/>
    <x v="1"/>
    <n v="75.599999999999994"/>
    <n v="151.19999999999999"/>
    <x v="70"/>
    <d v="2025-03-15T00:00:00"/>
    <s v="M"/>
    <x v="1"/>
    <x v="0"/>
    <x v="0"/>
    <x v="8"/>
    <x v="2"/>
    <n v="11"/>
    <x v="1"/>
  </r>
  <r>
    <s v="TX501946"/>
    <x v="12"/>
    <x v="13"/>
    <n v="47.3"/>
    <n v="283.79999999999995"/>
    <x v="70"/>
    <d v="2025-03-23T00:00:00"/>
    <s v="M"/>
    <x v="0"/>
    <x v="0"/>
    <x v="0"/>
    <x v="8"/>
    <x v="11"/>
    <n v="11"/>
    <x v="1"/>
  </r>
  <r>
    <s v="TX501947"/>
    <x v="4"/>
    <x v="0"/>
    <n v="20.6"/>
    <n v="20.6"/>
    <x v="70"/>
    <d v="2025-03-13T00:00:00"/>
    <s v=""/>
    <x v="0"/>
    <x v="1"/>
    <x v="0"/>
    <x v="8"/>
    <x v="3"/>
    <n v="11"/>
    <x v="0"/>
  </r>
  <r>
    <s v="TX501948"/>
    <x v="6"/>
    <x v="2"/>
    <n v="49.7"/>
    <n v="149.10000000000002"/>
    <x v="70"/>
    <d v="2025-03-14T00:00:00"/>
    <s v="M"/>
    <x v="0"/>
    <x v="1"/>
    <x v="0"/>
    <x v="8"/>
    <x v="1"/>
    <n v="11"/>
    <x v="1"/>
  </r>
  <r>
    <s v="TX501949"/>
    <x v="3"/>
    <x v="0"/>
    <n v="37.9"/>
    <n v="37.9"/>
    <x v="70"/>
    <d v="2025-03-14T00:00:00"/>
    <s v="F"/>
    <x v="0"/>
    <x v="0"/>
    <x v="0"/>
    <x v="8"/>
    <x v="1"/>
    <n v="11"/>
    <x v="2"/>
  </r>
  <r>
    <s v="TX501950"/>
    <x v="13"/>
    <x v="20"/>
    <n v="32"/>
    <n v="480"/>
    <x v="70"/>
    <d v="2025-03-14T00:00:00"/>
    <s v="F"/>
    <x v="4"/>
    <x v="0"/>
    <x v="0"/>
    <x v="11"/>
    <x v="1"/>
    <n v="11"/>
    <x v="2"/>
  </r>
  <r>
    <s v="TX501951"/>
    <x v="10"/>
    <x v="16"/>
    <n v="38.5"/>
    <n v="693"/>
    <x v="71"/>
    <d v="2025-03-14T00:00:00"/>
    <s v="M"/>
    <x v="0"/>
    <x v="2"/>
    <x v="0"/>
    <x v="11"/>
    <x v="3"/>
    <n v="11"/>
    <x v="1"/>
  </r>
  <r>
    <s v="TX501952"/>
    <x v="0"/>
    <x v="12"/>
    <n v="11.7"/>
    <n v="46.8"/>
    <x v="71"/>
    <d v="2025-03-15T00:00:00"/>
    <s v="F"/>
    <x v="1"/>
    <x v="0"/>
    <x v="0"/>
    <x v="20"/>
    <x v="1"/>
    <n v="11"/>
    <x v="2"/>
  </r>
  <r>
    <s v="TX501953"/>
    <x v="3"/>
    <x v="13"/>
    <n v="83.8"/>
    <n v="502.79999999999995"/>
    <x v="71"/>
    <d v="2025-03-14T00:00:00"/>
    <s v="M"/>
    <x v="0"/>
    <x v="0"/>
    <x v="0"/>
    <x v="21"/>
    <x v="3"/>
    <n v="11"/>
    <x v="1"/>
  </r>
  <r>
    <s v="TX501954"/>
    <x v="0"/>
    <x v="3"/>
    <n v="14"/>
    <n v="98"/>
    <x v="71"/>
    <d v="2025-03-16T00:00:00"/>
    <s v="M"/>
    <x v="0"/>
    <x v="1"/>
    <x v="0"/>
    <x v="22"/>
    <x v="2"/>
    <n v="11"/>
    <x v="1"/>
  </r>
  <r>
    <s v="TX501955"/>
    <x v="16"/>
    <x v="12"/>
    <n v="77.3"/>
    <n v="309.2"/>
    <x v="71"/>
    <d v="2025-03-15T00:00:00"/>
    <s v="F"/>
    <x v="4"/>
    <x v="2"/>
    <x v="0"/>
    <x v="3"/>
    <x v="1"/>
    <n v="11"/>
    <x v="2"/>
  </r>
  <r>
    <s v="TX501956"/>
    <x v="2"/>
    <x v="1"/>
    <n v="76.900000000000006"/>
    <n v="153.80000000000001"/>
    <x v="71"/>
    <d v="2025-03-17T00:00:00"/>
    <s v="F"/>
    <x v="0"/>
    <x v="1"/>
    <x v="0"/>
    <x v="3"/>
    <x v="5"/>
    <n v="11"/>
    <x v="2"/>
  </r>
  <r>
    <s v="TX501957"/>
    <x v="1"/>
    <x v="0"/>
    <n v="48"/>
    <n v="48"/>
    <x v="71"/>
    <d v="2025-03-15T00:00:00"/>
    <s v="F"/>
    <x v="1"/>
    <x v="2"/>
    <x v="0"/>
    <x v="3"/>
    <x v="1"/>
    <n v="11"/>
    <x v="2"/>
  </r>
  <r>
    <s v="TX501958"/>
    <x v="2"/>
    <x v="0"/>
    <n v="94.5"/>
    <n v="94.5"/>
    <x v="71"/>
    <d v="2025-03-16T00:00:00"/>
    <s v="M"/>
    <x v="1"/>
    <x v="1"/>
    <x v="0"/>
    <x v="3"/>
    <x v="2"/>
    <n v="11"/>
    <x v="1"/>
  </r>
  <r>
    <s v="TX501959"/>
    <x v="10"/>
    <x v="2"/>
    <n v="58.4"/>
    <n v="175.2"/>
    <x v="71"/>
    <d v="2025-03-15T00:00:00"/>
    <s v="F"/>
    <x v="1"/>
    <x v="2"/>
    <x v="0"/>
    <x v="3"/>
    <x v="1"/>
    <n v="11"/>
    <x v="2"/>
  </r>
  <r>
    <s v="TX501960"/>
    <x v="7"/>
    <x v="15"/>
    <n v="42.2"/>
    <n v="548.6"/>
    <x v="71"/>
    <d v="2025-03-13T00:00:00"/>
    <s v="M"/>
    <x v="0"/>
    <x v="0"/>
    <x v="0"/>
    <x v="25"/>
    <x v="7"/>
    <n v="11"/>
    <x v="1"/>
  </r>
  <r>
    <s v="TX501961"/>
    <x v="6"/>
    <x v="1"/>
    <n v="152.19999999999999"/>
    <n v="304.39999999999998"/>
    <x v="71"/>
    <d v="2025-03-14T00:00:00"/>
    <s v="M"/>
    <x v="4"/>
    <x v="1"/>
    <x v="0"/>
    <x v="25"/>
    <x v="3"/>
    <n v="11"/>
    <x v="1"/>
  </r>
  <r>
    <s v="TX501962"/>
    <x v="6"/>
    <x v="25"/>
    <n v="72"/>
    <n v="1728"/>
    <x v="71"/>
    <d v="2025-03-14T00:00:00"/>
    <s v="M"/>
    <x v="0"/>
    <x v="1"/>
    <x v="0"/>
    <x v="6"/>
    <x v="3"/>
    <n v="11"/>
    <x v="1"/>
  </r>
  <r>
    <s v="TX501963"/>
    <x v="1"/>
    <x v="44"/>
    <n v="70.900000000000006"/>
    <n v="1630.7"/>
    <x v="71"/>
    <d v="2025-03-14T00:00:00"/>
    <s v="F"/>
    <x v="2"/>
    <x v="0"/>
    <x v="0"/>
    <x v="8"/>
    <x v="3"/>
    <n v="11"/>
    <x v="2"/>
  </r>
  <r>
    <s v="TX501964"/>
    <x v="2"/>
    <x v="1"/>
    <n v="53.7"/>
    <n v="107.4"/>
    <x v="71"/>
    <d v="2025-03-14T00:00:00"/>
    <s v="M"/>
    <x v="2"/>
    <x v="2"/>
    <x v="0"/>
    <x v="8"/>
    <x v="3"/>
    <n v="11"/>
    <x v="1"/>
  </r>
  <r>
    <s v="TX501965"/>
    <x v="9"/>
    <x v="12"/>
    <n v="42.9"/>
    <n v="171.6"/>
    <x v="71"/>
    <d v="2025-03-14T00:00:00"/>
    <s v="F"/>
    <x v="2"/>
    <x v="4"/>
    <x v="0"/>
    <x v="9"/>
    <x v="3"/>
    <n v="11"/>
    <x v="2"/>
  </r>
  <r>
    <s v="TX501966"/>
    <x v="2"/>
    <x v="3"/>
    <n v="107.5"/>
    <n v="752.5"/>
    <x v="71"/>
    <d v="2025-03-14T00:00:00"/>
    <s v="M"/>
    <x v="1"/>
    <x v="0"/>
    <x v="0"/>
    <x v="11"/>
    <x v="3"/>
    <n v="11"/>
    <x v="1"/>
  </r>
  <r>
    <s v="TX501967"/>
    <x v="17"/>
    <x v="27"/>
    <n v="21.5"/>
    <n v="344"/>
    <x v="71"/>
    <d v="2025-03-14T00:00:00"/>
    <s v="M"/>
    <x v="1"/>
    <x v="1"/>
    <x v="0"/>
    <x v="32"/>
    <x v="3"/>
    <n v="11"/>
    <x v="1"/>
  </r>
  <r>
    <s v="TX501968"/>
    <x v="3"/>
    <x v="9"/>
    <n v="85.3"/>
    <n v="426.5"/>
    <x v="71"/>
    <d v="2025-03-15T00:00:00"/>
    <s v="F"/>
    <x v="3"/>
    <x v="0"/>
    <x v="0"/>
    <x v="18"/>
    <x v="1"/>
    <n v="11"/>
    <x v="2"/>
  </r>
  <r>
    <s v="TX501969"/>
    <x v="7"/>
    <x v="9"/>
    <n v="80.8"/>
    <n v="404"/>
    <x v="71"/>
    <d v="2025-03-21T00:00:00"/>
    <s v="O"/>
    <x v="1"/>
    <x v="1"/>
    <x v="0"/>
    <x v="19"/>
    <x v="9"/>
    <n v="11"/>
    <x v="3"/>
  </r>
  <r>
    <s v="TX501970"/>
    <x v="2"/>
    <x v="2"/>
    <n v="123.1"/>
    <n v="369.29999999999995"/>
    <x v="71"/>
    <d v="2025-03-15T00:00:00"/>
    <s v=""/>
    <x v="2"/>
    <x v="0"/>
    <x v="0"/>
    <x v="21"/>
    <x v="1"/>
    <n v="11"/>
    <x v="0"/>
  </r>
  <r>
    <s v="TX501971"/>
    <x v="8"/>
    <x v="1"/>
    <n v="36.9"/>
    <n v="73.8"/>
    <x v="71"/>
    <d v="2025-03-15T00:00:00"/>
    <s v="F"/>
    <x v="2"/>
    <x v="4"/>
    <x v="0"/>
    <x v="51"/>
    <x v="1"/>
    <n v="11"/>
    <x v="2"/>
  </r>
  <r>
    <s v="TX501972"/>
    <x v="11"/>
    <x v="9"/>
    <n v="40"/>
    <n v="200"/>
    <x v="71"/>
    <d v="2025-03-14T00:00:00"/>
    <s v="M"/>
    <x v="0"/>
    <x v="0"/>
    <x v="0"/>
    <x v="1"/>
    <x v="3"/>
    <n v="11"/>
    <x v="1"/>
  </r>
  <r>
    <s v="TX501973"/>
    <x v="6"/>
    <x v="2"/>
    <n v="55.5"/>
    <n v="166.5"/>
    <x v="71"/>
    <d v="2025-03-14T00:00:00"/>
    <s v="M"/>
    <x v="4"/>
    <x v="2"/>
    <x v="0"/>
    <x v="1"/>
    <x v="3"/>
    <n v="11"/>
    <x v="1"/>
  </r>
  <r>
    <s v="TX501974"/>
    <x v="0"/>
    <x v="12"/>
    <n v="20.5"/>
    <n v="82"/>
    <x v="71"/>
    <d v="2025-03-17T00:00:00"/>
    <s v="F"/>
    <x v="4"/>
    <x v="0"/>
    <x v="0"/>
    <x v="1"/>
    <x v="5"/>
    <n v="11"/>
    <x v="2"/>
  </r>
  <r>
    <s v="TX501975"/>
    <x v="18"/>
    <x v="12"/>
    <n v="50.1"/>
    <n v="200.4"/>
    <x v="71"/>
    <d v="2025-03-14T00:00:00"/>
    <s v="F"/>
    <x v="4"/>
    <x v="0"/>
    <x v="0"/>
    <x v="1"/>
    <x v="3"/>
    <n v="11"/>
    <x v="2"/>
  </r>
  <r>
    <s v="TX501976"/>
    <x v="9"/>
    <x v="0"/>
    <n v="35.9"/>
    <n v="35.9"/>
    <x v="71"/>
    <d v="2025-03-15T00:00:00"/>
    <s v="M"/>
    <x v="1"/>
    <x v="2"/>
    <x v="0"/>
    <x v="1"/>
    <x v="1"/>
    <n v="11"/>
    <x v="1"/>
  </r>
  <r>
    <s v="TX501977"/>
    <x v="13"/>
    <x v="12"/>
    <n v="29.4"/>
    <n v="117.6"/>
    <x v="72"/>
    <d v="2025-03-15T00:00:00"/>
    <s v="M"/>
    <x v="2"/>
    <x v="2"/>
    <x v="0"/>
    <x v="33"/>
    <x v="3"/>
    <n v="11"/>
    <x v="1"/>
  </r>
  <r>
    <s v="TX501978"/>
    <x v="8"/>
    <x v="9"/>
    <n v="29.1"/>
    <n v="145.5"/>
    <x v="72"/>
    <d v="2025-03-22T00:00:00"/>
    <s v="O"/>
    <x v="2"/>
    <x v="1"/>
    <x v="0"/>
    <x v="33"/>
    <x v="9"/>
    <n v="11"/>
    <x v="3"/>
  </r>
  <r>
    <s v="TX501979"/>
    <x v="8"/>
    <x v="2"/>
    <n v="33.5"/>
    <n v="100.5"/>
    <x v="72"/>
    <d v="2025-03-26T00:00:00"/>
    <s v="M"/>
    <x v="0"/>
    <x v="2"/>
    <x v="0"/>
    <x v="22"/>
    <x v="13"/>
    <n v="11"/>
    <x v="1"/>
  </r>
  <r>
    <s v="TX501980"/>
    <x v="4"/>
    <x v="7"/>
    <n v="36"/>
    <n v="360"/>
    <x v="72"/>
    <d v="2025-03-14T00:00:00"/>
    <s v="M"/>
    <x v="3"/>
    <x v="2"/>
    <x v="0"/>
    <x v="3"/>
    <x v="7"/>
    <n v="11"/>
    <x v="1"/>
  </r>
  <r>
    <s v="TX501981"/>
    <x v="16"/>
    <x v="2"/>
    <n v="57.3"/>
    <n v="171.89999999999998"/>
    <x v="72"/>
    <d v="2025-03-18T00:00:00"/>
    <s v="F"/>
    <x v="0"/>
    <x v="2"/>
    <x v="0"/>
    <x v="3"/>
    <x v="5"/>
    <n v="11"/>
    <x v="2"/>
  </r>
  <r>
    <s v="TX501982"/>
    <x v="1"/>
    <x v="0"/>
    <n v="81.400000000000006"/>
    <n v="81.400000000000006"/>
    <x v="72"/>
    <d v="2025-03-15T00:00:00"/>
    <s v="F"/>
    <x v="2"/>
    <x v="2"/>
    <x v="0"/>
    <x v="3"/>
    <x v="3"/>
    <n v="11"/>
    <x v="2"/>
  </r>
  <r>
    <s v="TX501983"/>
    <x v="10"/>
    <x v="1"/>
    <n v="35.299999999999997"/>
    <n v="70.599999999999994"/>
    <x v="72"/>
    <d v="2025-03-18T00:00:00"/>
    <s v="M"/>
    <x v="0"/>
    <x v="2"/>
    <x v="0"/>
    <x v="3"/>
    <x v="5"/>
    <n v="11"/>
    <x v="1"/>
  </r>
  <r>
    <s v="TX501984"/>
    <x v="3"/>
    <x v="0"/>
    <n v="36.1"/>
    <n v="36.1"/>
    <x v="72"/>
    <d v="2025-03-15T00:00:00"/>
    <s v="F"/>
    <x v="4"/>
    <x v="0"/>
    <x v="0"/>
    <x v="3"/>
    <x v="3"/>
    <n v="11"/>
    <x v="2"/>
  </r>
  <r>
    <s v="TX501985"/>
    <x v="1"/>
    <x v="1"/>
    <n v="36.700000000000003"/>
    <n v="73.400000000000006"/>
    <x v="72"/>
    <d v="2025-03-16T00:00:00"/>
    <s v="F"/>
    <x v="0"/>
    <x v="2"/>
    <x v="0"/>
    <x v="3"/>
    <x v="1"/>
    <n v="11"/>
    <x v="2"/>
  </r>
  <r>
    <s v="TX501986"/>
    <x v="10"/>
    <x v="0"/>
    <n v="20.9"/>
    <n v="20.9"/>
    <x v="72"/>
    <d v="2025-03-16T00:00:00"/>
    <s v="F"/>
    <x v="0"/>
    <x v="4"/>
    <x v="0"/>
    <x v="3"/>
    <x v="1"/>
    <n v="11"/>
    <x v="2"/>
  </r>
  <r>
    <s v="TX501987"/>
    <x v="12"/>
    <x v="2"/>
    <n v="58.8"/>
    <n v="176.39999999999998"/>
    <x v="72"/>
    <d v="2025-03-18T00:00:00"/>
    <s v="M"/>
    <x v="0"/>
    <x v="2"/>
    <x v="0"/>
    <x v="25"/>
    <x v="5"/>
    <n v="11"/>
    <x v="1"/>
  </r>
  <r>
    <s v="TX501988"/>
    <x v="2"/>
    <x v="2"/>
    <n v="97.6"/>
    <n v="292.79999999999995"/>
    <x v="73"/>
    <d v="2025-03-17T00:00:00"/>
    <s v=""/>
    <x v="0"/>
    <x v="0"/>
    <x v="0"/>
    <x v="6"/>
    <x v="1"/>
    <n v="11"/>
    <x v="0"/>
  </r>
  <r>
    <s v="TX501989"/>
    <x v="1"/>
    <x v="1"/>
    <n v="58.7"/>
    <n v="117.4"/>
    <x v="73"/>
    <d v="2025-03-18T00:00:00"/>
    <s v="F"/>
    <x v="0"/>
    <x v="1"/>
    <x v="0"/>
    <x v="6"/>
    <x v="2"/>
    <n v="11"/>
    <x v="2"/>
  </r>
  <r>
    <s v="TX501990"/>
    <x v="6"/>
    <x v="9"/>
    <n v="71.900000000000006"/>
    <n v="359.5"/>
    <x v="73"/>
    <d v="2025-03-16T00:00:00"/>
    <s v=""/>
    <x v="0"/>
    <x v="1"/>
    <x v="0"/>
    <x v="6"/>
    <x v="3"/>
    <n v="11"/>
    <x v="0"/>
  </r>
  <r>
    <s v="TX501991"/>
    <x v="1"/>
    <x v="1"/>
    <n v="62.4"/>
    <n v="124.8"/>
    <x v="73"/>
    <d v="2025-03-17T00:00:00"/>
    <s v=""/>
    <x v="0"/>
    <x v="1"/>
    <x v="0"/>
    <x v="8"/>
    <x v="1"/>
    <n v="11"/>
    <x v="0"/>
  </r>
  <r>
    <s v="TX501992"/>
    <x v="6"/>
    <x v="27"/>
    <n v="53.8"/>
    <n v="860.8"/>
    <x v="73"/>
    <d v="2025-03-16T00:00:00"/>
    <s v="F"/>
    <x v="1"/>
    <x v="0"/>
    <x v="0"/>
    <x v="8"/>
    <x v="3"/>
    <n v="11"/>
    <x v="2"/>
  </r>
  <r>
    <s v="TX501993"/>
    <x v="9"/>
    <x v="0"/>
    <n v="43.8"/>
    <n v="43.8"/>
    <x v="73"/>
    <d v="2025-03-22T00:00:00"/>
    <s v="F"/>
    <x v="0"/>
    <x v="2"/>
    <x v="0"/>
    <x v="8"/>
    <x v="6"/>
    <n v="11"/>
    <x v="2"/>
  </r>
  <r>
    <s v="TX501994"/>
    <x v="5"/>
    <x v="2"/>
    <n v="53.6"/>
    <n v="160.80000000000001"/>
    <x v="73"/>
    <d v="2025-03-16T00:00:00"/>
    <s v="M"/>
    <x v="3"/>
    <x v="0"/>
    <x v="0"/>
    <x v="8"/>
    <x v="3"/>
    <n v="11"/>
    <x v="1"/>
  </r>
  <r>
    <s v="TX501995"/>
    <x v="12"/>
    <x v="1"/>
    <n v="84.3"/>
    <n v="168.6"/>
    <x v="73"/>
    <d v="2025-03-18T00:00:00"/>
    <s v="M"/>
    <x v="4"/>
    <x v="1"/>
    <x v="0"/>
    <x v="8"/>
    <x v="2"/>
    <n v="11"/>
    <x v="1"/>
  </r>
  <r>
    <s v="TX501996"/>
    <x v="6"/>
    <x v="11"/>
    <n v="117.9"/>
    <n v="1061.1000000000001"/>
    <x v="73"/>
    <d v="2025-03-16T00:00:00"/>
    <s v="F"/>
    <x v="1"/>
    <x v="2"/>
    <x v="0"/>
    <x v="8"/>
    <x v="3"/>
    <n v="11"/>
    <x v="2"/>
  </r>
  <r>
    <s v="TX501997"/>
    <x v="4"/>
    <x v="8"/>
    <n v="30"/>
    <n v="240"/>
    <x v="73"/>
    <d v="2025-03-16T00:00:00"/>
    <s v="F"/>
    <x v="1"/>
    <x v="0"/>
    <x v="0"/>
    <x v="26"/>
    <x v="3"/>
    <n v="11"/>
    <x v="2"/>
  </r>
  <r>
    <s v="TX501998"/>
    <x v="14"/>
    <x v="2"/>
    <n v="37.299999999999997"/>
    <n v="111.89999999999999"/>
    <x v="73"/>
    <d v="2025-03-16T00:00:00"/>
    <s v="M"/>
    <x v="2"/>
    <x v="0"/>
    <x v="0"/>
    <x v="9"/>
    <x v="3"/>
    <n v="11"/>
    <x v="1"/>
  </r>
  <r>
    <s v="TX501999"/>
    <x v="4"/>
    <x v="11"/>
    <n v="25.1"/>
    <n v="225.9"/>
    <x v="73"/>
    <d v="2025-03-17T00:00:00"/>
    <s v="M"/>
    <x v="1"/>
    <x v="2"/>
    <x v="0"/>
    <x v="11"/>
    <x v="1"/>
    <n v="11"/>
    <x v="1"/>
  </r>
  <r>
    <s v="TX502000"/>
    <x v="8"/>
    <x v="5"/>
    <n v="36"/>
    <n v="396"/>
    <x v="73"/>
    <d v="2025-03-25T00:00:00"/>
    <s v="M"/>
    <x v="1"/>
    <x v="0"/>
    <x v="0"/>
    <x v="18"/>
    <x v="14"/>
    <n v="11"/>
    <x v="1"/>
  </r>
  <r>
    <s v="TX502001"/>
    <x v="16"/>
    <x v="2"/>
    <n v="48.5"/>
    <n v="145.5"/>
    <x v="73"/>
    <d v="2025-03-19T00:00:00"/>
    <s v="F"/>
    <x v="1"/>
    <x v="0"/>
    <x v="0"/>
    <x v="19"/>
    <x v="5"/>
    <n v="11"/>
    <x v="2"/>
  </r>
  <r>
    <s v="TX502002"/>
    <x v="17"/>
    <x v="13"/>
    <n v="21.1"/>
    <n v="126.60000000000001"/>
    <x v="73"/>
    <d v="2025-03-16T00:00:00"/>
    <s v="M"/>
    <x v="1"/>
    <x v="2"/>
    <x v="0"/>
    <x v="21"/>
    <x v="3"/>
    <n v="11"/>
    <x v="1"/>
  </r>
  <r>
    <s v="TX502003"/>
    <x v="15"/>
    <x v="21"/>
    <n v="43.2"/>
    <n v="604.80000000000007"/>
    <x v="73"/>
    <d v="2025-03-16T00:00:00"/>
    <s v="O"/>
    <x v="0"/>
    <x v="1"/>
    <x v="0"/>
    <x v="21"/>
    <x v="3"/>
    <n v="11"/>
    <x v="3"/>
  </r>
  <r>
    <s v="TX502004"/>
    <x v="9"/>
    <x v="1"/>
    <n v="21.1"/>
    <n v="42.2"/>
    <x v="73"/>
    <d v="2025-03-16T00:00:00"/>
    <s v=""/>
    <x v="3"/>
    <x v="1"/>
    <x v="0"/>
    <x v="21"/>
    <x v="3"/>
    <n v="11"/>
    <x v="0"/>
  </r>
  <r>
    <s v="TX502005"/>
    <x v="6"/>
    <x v="12"/>
    <n v="41.3"/>
    <n v="165.2"/>
    <x v="73"/>
    <d v="2025-03-17T00:00:00"/>
    <s v="F"/>
    <x v="3"/>
    <x v="2"/>
    <x v="0"/>
    <x v="1"/>
    <x v="1"/>
    <n v="11"/>
    <x v="2"/>
  </r>
  <r>
    <s v="TX502006"/>
    <x v="8"/>
    <x v="1"/>
    <n v="15.3"/>
    <n v="30.6"/>
    <x v="73"/>
    <d v="2025-03-18T00:00:00"/>
    <s v=""/>
    <x v="2"/>
    <x v="2"/>
    <x v="0"/>
    <x v="1"/>
    <x v="2"/>
    <n v="11"/>
    <x v="0"/>
  </r>
  <r>
    <s v="TX502007"/>
    <x v="1"/>
    <x v="0"/>
    <n v="54.6"/>
    <n v="54.6"/>
    <x v="73"/>
    <d v="2025-03-17T00:00:00"/>
    <s v="M"/>
    <x v="1"/>
    <x v="1"/>
    <x v="0"/>
    <x v="2"/>
    <x v="1"/>
    <n v="11"/>
    <x v="1"/>
  </r>
  <r>
    <s v="TX502008"/>
    <x v="8"/>
    <x v="0"/>
    <n v="15.9"/>
    <n v="15.9"/>
    <x v="73"/>
    <d v="2025-03-16T00:00:00"/>
    <s v="M"/>
    <x v="0"/>
    <x v="1"/>
    <x v="0"/>
    <x v="22"/>
    <x v="3"/>
    <n v="11"/>
    <x v="1"/>
  </r>
  <r>
    <s v="TX502009"/>
    <x v="9"/>
    <x v="0"/>
    <n v="50.2"/>
    <n v="50.2"/>
    <x v="73"/>
    <d v="2025-03-17T00:00:00"/>
    <s v="F"/>
    <x v="3"/>
    <x v="2"/>
    <x v="0"/>
    <x v="34"/>
    <x v="1"/>
    <n v="11"/>
    <x v="2"/>
  </r>
  <r>
    <s v="TX502010"/>
    <x v="11"/>
    <x v="12"/>
    <n v="85.1"/>
    <n v="340.4"/>
    <x v="73"/>
    <d v="2025-03-16T00:00:00"/>
    <s v="F"/>
    <x v="3"/>
    <x v="4"/>
    <x v="0"/>
    <x v="34"/>
    <x v="3"/>
    <n v="11"/>
    <x v="2"/>
  </r>
  <r>
    <s v="TX502011"/>
    <x v="11"/>
    <x v="1"/>
    <n v="41.4"/>
    <n v="82.8"/>
    <x v="73"/>
    <d v="2025-03-16T00:00:00"/>
    <s v="F"/>
    <x v="0"/>
    <x v="2"/>
    <x v="0"/>
    <x v="3"/>
    <x v="3"/>
    <n v="11"/>
    <x v="2"/>
  </r>
  <r>
    <s v="TX502012"/>
    <x v="4"/>
    <x v="3"/>
    <n v="32.700000000000003"/>
    <n v="228.90000000000003"/>
    <x v="73"/>
    <d v="2025-03-16T00:00:00"/>
    <s v="F"/>
    <x v="2"/>
    <x v="1"/>
    <x v="0"/>
    <x v="3"/>
    <x v="3"/>
    <n v="11"/>
    <x v="2"/>
  </r>
  <r>
    <s v="TX502013"/>
    <x v="4"/>
    <x v="1"/>
    <n v="41.6"/>
    <n v="83.2"/>
    <x v="73"/>
    <d v="2025-03-17T00:00:00"/>
    <s v="M"/>
    <x v="4"/>
    <x v="1"/>
    <x v="0"/>
    <x v="3"/>
    <x v="1"/>
    <n v="11"/>
    <x v="1"/>
  </r>
  <r>
    <s v="TX502014"/>
    <x v="5"/>
    <x v="12"/>
    <n v="64.8"/>
    <n v="259.2"/>
    <x v="73"/>
    <d v="2025-03-16T00:00:00"/>
    <s v=""/>
    <x v="2"/>
    <x v="0"/>
    <x v="0"/>
    <x v="3"/>
    <x v="3"/>
    <n v="11"/>
    <x v="0"/>
  </r>
  <r>
    <s v="TX502015"/>
    <x v="15"/>
    <x v="1"/>
    <n v="33.6"/>
    <n v="67.2"/>
    <x v="73"/>
    <d v="2025-03-16T00:00:00"/>
    <s v="M"/>
    <x v="0"/>
    <x v="2"/>
    <x v="0"/>
    <x v="3"/>
    <x v="3"/>
    <n v="11"/>
    <x v="1"/>
  </r>
  <r>
    <s v="TX502016"/>
    <x v="6"/>
    <x v="2"/>
    <n v="100.7"/>
    <n v="302.10000000000002"/>
    <x v="73"/>
    <d v="2025-03-16T00:00:00"/>
    <s v=""/>
    <x v="1"/>
    <x v="0"/>
    <x v="0"/>
    <x v="3"/>
    <x v="3"/>
    <n v="11"/>
    <x v="0"/>
  </r>
  <r>
    <s v="TX502017"/>
    <x v="4"/>
    <x v="1"/>
    <n v="49.3"/>
    <n v="98.6"/>
    <x v="74"/>
    <d v="2025-03-18T00:00:00"/>
    <s v="F"/>
    <x v="4"/>
    <x v="2"/>
    <x v="0"/>
    <x v="3"/>
    <x v="1"/>
    <n v="12"/>
    <x v="2"/>
  </r>
  <r>
    <s v="TX502018"/>
    <x v="2"/>
    <x v="13"/>
    <n v="97"/>
    <n v="582"/>
    <x v="74"/>
    <d v="2025-03-19T00:00:00"/>
    <s v="M"/>
    <x v="2"/>
    <x v="2"/>
    <x v="0"/>
    <x v="3"/>
    <x v="2"/>
    <n v="12"/>
    <x v="1"/>
  </r>
  <r>
    <s v="TX502019"/>
    <x v="0"/>
    <x v="13"/>
    <n v="25.2"/>
    <n v="151.19999999999999"/>
    <x v="74"/>
    <d v="2025-03-19T00:00:00"/>
    <s v="F"/>
    <x v="4"/>
    <x v="2"/>
    <x v="0"/>
    <x v="3"/>
    <x v="2"/>
    <n v="12"/>
    <x v="2"/>
  </r>
  <r>
    <s v="TX502020"/>
    <x v="0"/>
    <x v="5"/>
    <n v="12.2"/>
    <n v="134.19999999999999"/>
    <x v="74"/>
    <d v="2025-03-17T00:00:00"/>
    <s v=""/>
    <x v="0"/>
    <x v="1"/>
    <x v="0"/>
    <x v="3"/>
    <x v="3"/>
    <n v="12"/>
    <x v="0"/>
  </r>
  <r>
    <s v="TX502021"/>
    <x v="8"/>
    <x v="3"/>
    <n v="38.799999999999997"/>
    <n v="271.59999999999997"/>
    <x v="74"/>
    <d v="2025-03-18T00:00:00"/>
    <s v="F"/>
    <x v="1"/>
    <x v="1"/>
    <x v="0"/>
    <x v="23"/>
    <x v="1"/>
    <n v="12"/>
    <x v="2"/>
  </r>
  <r>
    <s v="TX502022"/>
    <x v="2"/>
    <x v="12"/>
    <n v="53.2"/>
    <n v="212.8"/>
    <x v="74"/>
    <d v="2025-03-17T00:00:00"/>
    <s v="M"/>
    <x v="0"/>
    <x v="2"/>
    <x v="0"/>
    <x v="8"/>
    <x v="3"/>
    <n v="12"/>
    <x v="1"/>
  </r>
  <r>
    <s v="TX502023"/>
    <x v="6"/>
    <x v="3"/>
    <n v="151"/>
    <n v="1057"/>
    <x v="74"/>
    <d v="2025-03-17T00:00:00"/>
    <s v="O"/>
    <x v="1"/>
    <x v="1"/>
    <x v="0"/>
    <x v="8"/>
    <x v="3"/>
    <n v="12"/>
    <x v="3"/>
  </r>
  <r>
    <s v="TX502024"/>
    <x v="1"/>
    <x v="1"/>
    <n v="37.1"/>
    <n v="74.2"/>
    <x v="74"/>
    <d v="2025-03-17T00:00:00"/>
    <s v="F"/>
    <x v="4"/>
    <x v="0"/>
    <x v="0"/>
    <x v="8"/>
    <x v="3"/>
    <n v="12"/>
    <x v="2"/>
  </r>
  <r>
    <s v="TX502025"/>
    <x v="5"/>
    <x v="1"/>
    <n v="38.9"/>
    <n v="77.8"/>
    <x v="74"/>
    <d v="2025-03-17T00:00:00"/>
    <s v="M"/>
    <x v="4"/>
    <x v="0"/>
    <x v="0"/>
    <x v="8"/>
    <x v="3"/>
    <n v="12"/>
    <x v="1"/>
  </r>
  <r>
    <s v="TX502026"/>
    <x v="10"/>
    <x v="1"/>
    <n v="35.200000000000003"/>
    <n v="70.400000000000006"/>
    <x v="74"/>
    <d v="2025-03-17T00:00:00"/>
    <s v="M"/>
    <x v="0"/>
    <x v="2"/>
    <x v="0"/>
    <x v="17"/>
    <x v="3"/>
    <n v="12"/>
    <x v="1"/>
  </r>
  <r>
    <s v="TX502027"/>
    <x v="0"/>
    <x v="1"/>
    <n v="22.3"/>
    <n v="44.6"/>
    <x v="74"/>
    <d v="2025-03-18T00:00:00"/>
    <s v="F"/>
    <x v="1"/>
    <x v="0"/>
    <x v="0"/>
    <x v="9"/>
    <x v="1"/>
    <n v="12"/>
    <x v="2"/>
  </r>
  <r>
    <s v="TX502028"/>
    <x v="9"/>
    <x v="0"/>
    <n v="43.3"/>
    <n v="43.3"/>
    <x v="74"/>
    <d v="2025-03-19T00:00:00"/>
    <s v="F"/>
    <x v="0"/>
    <x v="2"/>
    <x v="0"/>
    <x v="11"/>
    <x v="2"/>
    <n v="12"/>
    <x v="2"/>
  </r>
  <r>
    <s v="TX502029"/>
    <x v="6"/>
    <x v="13"/>
    <n v="75.900000000000006"/>
    <n v="455.40000000000003"/>
    <x v="74"/>
    <d v="2025-03-22T00:00:00"/>
    <s v="M"/>
    <x v="0"/>
    <x v="0"/>
    <x v="0"/>
    <x v="11"/>
    <x v="4"/>
    <n v="12"/>
    <x v="1"/>
  </r>
  <r>
    <s v="TX502030"/>
    <x v="6"/>
    <x v="2"/>
    <n v="78.7"/>
    <n v="236.10000000000002"/>
    <x v="74"/>
    <d v="2025-03-20T00:00:00"/>
    <s v="F"/>
    <x v="2"/>
    <x v="1"/>
    <x v="0"/>
    <x v="11"/>
    <x v="5"/>
    <n v="12"/>
    <x v="2"/>
  </r>
  <r>
    <s v="TX502031"/>
    <x v="1"/>
    <x v="0"/>
    <n v="66.3"/>
    <n v="66.3"/>
    <x v="74"/>
    <d v="2025-03-20T00:00:00"/>
    <s v="F"/>
    <x v="0"/>
    <x v="2"/>
    <x v="0"/>
    <x v="19"/>
    <x v="5"/>
    <n v="12"/>
    <x v="2"/>
  </r>
  <r>
    <s v="TX502032"/>
    <x v="8"/>
    <x v="1"/>
    <n v="33.6"/>
    <n v="67.2"/>
    <x v="74"/>
    <d v="2025-03-16T00:00:00"/>
    <s v="M"/>
    <x v="0"/>
    <x v="1"/>
    <x v="0"/>
    <x v="19"/>
    <x v="7"/>
    <n v="12"/>
    <x v="1"/>
  </r>
  <r>
    <s v="TX502033"/>
    <x v="2"/>
    <x v="3"/>
    <n v="61.4"/>
    <n v="429.8"/>
    <x v="74"/>
    <d v="2025-03-17T00:00:00"/>
    <s v="M"/>
    <x v="4"/>
    <x v="0"/>
    <x v="0"/>
    <x v="19"/>
    <x v="3"/>
    <n v="12"/>
    <x v="1"/>
  </r>
  <r>
    <s v="TX502034"/>
    <x v="8"/>
    <x v="1"/>
    <n v="17.5"/>
    <n v="35"/>
    <x v="74"/>
    <d v="2025-03-19T00:00:00"/>
    <s v="F"/>
    <x v="0"/>
    <x v="0"/>
    <x v="0"/>
    <x v="21"/>
    <x v="2"/>
    <n v="12"/>
    <x v="2"/>
  </r>
  <r>
    <s v="TX502035"/>
    <x v="8"/>
    <x v="1"/>
    <n v="32.5"/>
    <n v="65"/>
    <x v="74"/>
    <d v="2025-03-19T00:00:00"/>
    <s v="F"/>
    <x v="1"/>
    <x v="0"/>
    <x v="0"/>
    <x v="21"/>
    <x v="2"/>
    <n v="12"/>
    <x v="2"/>
  </r>
  <r>
    <s v="TX502036"/>
    <x v="4"/>
    <x v="0"/>
    <n v="34.6"/>
    <n v="34.6"/>
    <x v="74"/>
    <d v="2025-03-17T00:00:00"/>
    <s v="F"/>
    <x v="4"/>
    <x v="0"/>
    <x v="0"/>
    <x v="21"/>
    <x v="3"/>
    <n v="12"/>
    <x v="2"/>
  </r>
  <r>
    <s v="TX502037"/>
    <x v="2"/>
    <x v="0"/>
    <n v="75.900000000000006"/>
    <n v="75.900000000000006"/>
    <x v="74"/>
    <d v="2025-03-16T00:00:00"/>
    <s v="M"/>
    <x v="1"/>
    <x v="2"/>
    <x v="0"/>
    <x v="21"/>
    <x v="7"/>
    <n v="12"/>
    <x v="1"/>
  </r>
  <r>
    <s v="TX502038"/>
    <x v="1"/>
    <x v="2"/>
    <n v="42.1"/>
    <n v="126.30000000000001"/>
    <x v="74"/>
    <d v="2025-03-19T00:00:00"/>
    <s v="M"/>
    <x v="1"/>
    <x v="1"/>
    <x v="0"/>
    <x v="21"/>
    <x v="2"/>
    <n v="12"/>
    <x v="1"/>
  </r>
  <r>
    <s v="TX502039"/>
    <x v="7"/>
    <x v="2"/>
    <n v="65.3"/>
    <n v="195.89999999999998"/>
    <x v="74"/>
    <d v="2025-03-23T00:00:00"/>
    <s v="M"/>
    <x v="0"/>
    <x v="0"/>
    <x v="0"/>
    <x v="1"/>
    <x v="6"/>
    <n v="12"/>
    <x v="1"/>
  </r>
  <r>
    <s v="TX502040"/>
    <x v="15"/>
    <x v="0"/>
    <n v="20.6"/>
    <n v="20.6"/>
    <x v="74"/>
    <d v="2025-03-19T00:00:00"/>
    <s v="M"/>
    <x v="3"/>
    <x v="0"/>
    <x v="0"/>
    <x v="42"/>
    <x v="2"/>
    <n v="12"/>
    <x v="1"/>
  </r>
  <r>
    <s v="TX502041"/>
    <x v="8"/>
    <x v="3"/>
    <n v="16.5"/>
    <n v="115.5"/>
    <x v="74"/>
    <d v="2025-03-17T00:00:00"/>
    <s v="M"/>
    <x v="1"/>
    <x v="1"/>
    <x v="0"/>
    <x v="2"/>
    <x v="3"/>
    <n v="12"/>
    <x v="1"/>
  </r>
  <r>
    <s v="TX502042"/>
    <x v="16"/>
    <x v="7"/>
    <n v="36.200000000000003"/>
    <n v="362"/>
    <x v="74"/>
    <d v="2025-03-18T00:00:00"/>
    <s v="M"/>
    <x v="0"/>
    <x v="2"/>
    <x v="0"/>
    <x v="2"/>
    <x v="1"/>
    <n v="12"/>
    <x v="1"/>
  </r>
  <r>
    <s v="TX502043"/>
    <x v="6"/>
    <x v="0"/>
    <n v="53.2"/>
    <n v="53.2"/>
    <x v="74"/>
    <d v="2025-03-17T00:00:00"/>
    <s v="F"/>
    <x v="0"/>
    <x v="1"/>
    <x v="0"/>
    <x v="22"/>
    <x v="3"/>
    <n v="12"/>
    <x v="2"/>
  </r>
  <r>
    <s v="TX502044"/>
    <x v="2"/>
    <x v="21"/>
    <n v="176"/>
    <n v="2464"/>
    <x v="74"/>
    <d v="2025-03-17T00:00:00"/>
    <s v="F"/>
    <x v="0"/>
    <x v="1"/>
    <x v="0"/>
    <x v="3"/>
    <x v="3"/>
    <n v="12"/>
    <x v="2"/>
  </r>
  <r>
    <s v="TX502045"/>
    <x v="1"/>
    <x v="0"/>
    <n v="52.4"/>
    <n v="52.4"/>
    <x v="74"/>
    <d v="2025-03-17T00:00:00"/>
    <s v="M"/>
    <x v="1"/>
    <x v="0"/>
    <x v="0"/>
    <x v="3"/>
    <x v="3"/>
    <n v="12"/>
    <x v="1"/>
  </r>
  <r>
    <s v="TX502046"/>
    <x v="10"/>
    <x v="2"/>
    <n v="48.2"/>
    <n v="144.60000000000002"/>
    <x v="74"/>
    <d v="2025-03-17T00:00:00"/>
    <s v="F"/>
    <x v="1"/>
    <x v="2"/>
    <x v="0"/>
    <x v="3"/>
    <x v="3"/>
    <n v="12"/>
    <x v="2"/>
  </r>
  <r>
    <s v="TX502047"/>
    <x v="15"/>
    <x v="0"/>
    <n v="51.6"/>
    <n v="51.6"/>
    <x v="74"/>
    <d v="2025-03-20T00:00:00"/>
    <s v="F"/>
    <x v="2"/>
    <x v="1"/>
    <x v="0"/>
    <x v="3"/>
    <x v="5"/>
    <n v="12"/>
    <x v="2"/>
  </r>
  <r>
    <s v="TX502048"/>
    <x v="0"/>
    <x v="12"/>
    <n v="33.700000000000003"/>
    <n v="134.80000000000001"/>
    <x v="75"/>
    <d v="2025-03-18T00:00:00"/>
    <s v="M"/>
    <x v="0"/>
    <x v="0"/>
    <x v="0"/>
    <x v="3"/>
    <x v="3"/>
    <n v="12"/>
    <x v="1"/>
  </r>
  <r>
    <s v="TX502049"/>
    <x v="4"/>
    <x v="7"/>
    <n v="36.299999999999997"/>
    <n v="363"/>
    <x v="75"/>
    <d v="2025-03-19T00:00:00"/>
    <s v="F"/>
    <x v="4"/>
    <x v="1"/>
    <x v="0"/>
    <x v="3"/>
    <x v="1"/>
    <n v="12"/>
    <x v="2"/>
  </r>
  <r>
    <s v="TX502050"/>
    <x v="8"/>
    <x v="0"/>
    <n v="23.4"/>
    <n v="23.4"/>
    <x v="75"/>
    <d v="2025-03-22T00:00:00"/>
    <s v="F"/>
    <x v="1"/>
    <x v="2"/>
    <x v="0"/>
    <x v="3"/>
    <x v="0"/>
    <n v="12"/>
    <x v="2"/>
  </r>
  <r>
    <s v="TX502051"/>
    <x v="15"/>
    <x v="8"/>
    <n v="56.6"/>
    <n v="452.8"/>
    <x v="75"/>
    <d v="2025-03-19T00:00:00"/>
    <s v="F"/>
    <x v="1"/>
    <x v="0"/>
    <x v="0"/>
    <x v="3"/>
    <x v="1"/>
    <n v="12"/>
    <x v="2"/>
  </r>
  <r>
    <s v="TX502052"/>
    <x v="15"/>
    <x v="1"/>
    <n v="26.8"/>
    <n v="53.6"/>
    <x v="75"/>
    <d v="2025-03-18T00:00:00"/>
    <s v="M"/>
    <x v="0"/>
    <x v="0"/>
    <x v="0"/>
    <x v="4"/>
    <x v="3"/>
    <n v="12"/>
    <x v="1"/>
  </r>
  <r>
    <s v="TX502053"/>
    <x v="0"/>
    <x v="2"/>
    <n v="11.3"/>
    <n v="33.900000000000006"/>
    <x v="75"/>
    <d v="2025-03-19T00:00:00"/>
    <s v="M"/>
    <x v="2"/>
    <x v="0"/>
    <x v="0"/>
    <x v="25"/>
    <x v="1"/>
    <n v="12"/>
    <x v="1"/>
  </r>
  <r>
    <s v="TX502054"/>
    <x v="6"/>
    <x v="2"/>
    <n v="60.1"/>
    <n v="180.3"/>
    <x v="75"/>
    <d v="2025-03-20T00:00:00"/>
    <s v="F"/>
    <x v="0"/>
    <x v="0"/>
    <x v="0"/>
    <x v="7"/>
    <x v="2"/>
    <n v="12"/>
    <x v="2"/>
  </r>
  <r>
    <s v="TX502055"/>
    <x v="0"/>
    <x v="5"/>
    <n v="27.7"/>
    <n v="304.7"/>
    <x v="75"/>
    <d v="2025-03-22T00:00:00"/>
    <s v="F"/>
    <x v="0"/>
    <x v="0"/>
    <x v="0"/>
    <x v="8"/>
    <x v="0"/>
    <n v="12"/>
    <x v="2"/>
  </r>
  <r>
    <s v="TX502056"/>
    <x v="15"/>
    <x v="0"/>
    <n v="71.400000000000006"/>
    <n v="71.400000000000006"/>
    <x v="75"/>
    <d v="2025-03-20T00:00:00"/>
    <s v="M"/>
    <x v="0"/>
    <x v="2"/>
    <x v="0"/>
    <x v="8"/>
    <x v="2"/>
    <n v="12"/>
    <x v="1"/>
  </r>
  <r>
    <s v="TX502057"/>
    <x v="2"/>
    <x v="1"/>
    <n v="66.7"/>
    <n v="133.4"/>
    <x v="75"/>
    <d v="2025-03-18T00:00:00"/>
    <s v="F"/>
    <x v="0"/>
    <x v="2"/>
    <x v="0"/>
    <x v="8"/>
    <x v="3"/>
    <n v="12"/>
    <x v="2"/>
  </r>
  <r>
    <s v="TX502058"/>
    <x v="13"/>
    <x v="9"/>
    <n v="39.1"/>
    <n v="195.5"/>
    <x v="75"/>
    <d v="2025-03-18T00:00:00"/>
    <s v="F"/>
    <x v="0"/>
    <x v="0"/>
    <x v="0"/>
    <x v="8"/>
    <x v="3"/>
    <n v="12"/>
    <x v="2"/>
  </r>
  <r>
    <s v="TX502059"/>
    <x v="8"/>
    <x v="12"/>
    <n v="24.9"/>
    <n v="99.6"/>
    <x v="75"/>
    <d v="2025-03-22T00:00:00"/>
    <s v="M"/>
    <x v="1"/>
    <x v="2"/>
    <x v="0"/>
    <x v="8"/>
    <x v="0"/>
    <n v="12"/>
    <x v="1"/>
  </r>
  <r>
    <s v="TX502060"/>
    <x v="5"/>
    <x v="9"/>
    <n v="29.2"/>
    <n v="146"/>
    <x v="75"/>
    <d v="2025-03-18T00:00:00"/>
    <s v="M"/>
    <x v="0"/>
    <x v="2"/>
    <x v="0"/>
    <x v="17"/>
    <x v="3"/>
    <n v="12"/>
    <x v="1"/>
  </r>
  <r>
    <s v="TX502061"/>
    <x v="13"/>
    <x v="21"/>
    <n v="28.3"/>
    <n v="396.2"/>
    <x v="75"/>
    <d v="2025-03-19T00:00:00"/>
    <s v="F"/>
    <x v="1"/>
    <x v="0"/>
    <x v="0"/>
    <x v="11"/>
    <x v="1"/>
    <n v="12"/>
    <x v="2"/>
  </r>
  <r>
    <s v="TX502062"/>
    <x v="9"/>
    <x v="2"/>
    <n v="37.799999999999997"/>
    <n v="113.39999999999999"/>
    <x v="75"/>
    <d v="2025-03-18T00:00:00"/>
    <s v="F"/>
    <x v="0"/>
    <x v="1"/>
    <x v="0"/>
    <x v="11"/>
    <x v="3"/>
    <n v="12"/>
    <x v="2"/>
  </r>
  <r>
    <s v="TX502063"/>
    <x v="14"/>
    <x v="3"/>
    <n v="28.1"/>
    <n v="196.70000000000002"/>
    <x v="75"/>
    <d v="2025-03-23T00:00:00"/>
    <s v="F"/>
    <x v="2"/>
    <x v="0"/>
    <x v="0"/>
    <x v="11"/>
    <x v="4"/>
    <n v="12"/>
    <x v="2"/>
  </r>
  <r>
    <s v="TX502064"/>
    <x v="1"/>
    <x v="2"/>
    <n v="59.7"/>
    <n v="179.10000000000002"/>
    <x v="75"/>
    <d v="2025-03-19T00:00:00"/>
    <s v="F"/>
    <x v="2"/>
    <x v="0"/>
    <x v="0"/>
    <x v="11"/>
    <x v="1"/>
    <n v="12"/>
    <x v="2"/>
  </r>
  <r>
    <s v="TX502065"/>
    <x v="16"/>
    <x v="0"/>
    <n v="71.900000000000006"/>
    <n v="71.900000000000006"/>
    <x v="75"/>
    <d v="2025-03-18T00:00:00"/>
    <s v="M"/>
    <x v="1"/>
    <x v="1"/>
    <x v="0"/>
    <x v="11"/>
    <x v="3"/>
    <n v="12"/>
    <x v="1"/>
  </r>
  <r>
    <s v="TX502066"/>
    <x v="1"/>
    <x v="1"/>
    <n v="56.9"/>
    <n v="113.8"/>
    <x v="75"/>
    <d v="2025-03-18T00:00:00"/>
    <s v="M"/>
    <x v="2"/>
    <x v="0"/>
    <x v="0"/>
    <x v="13"/>
    <x v="3"/>
    <n v="12"/>
    <x v="1"/>
  </r>
  <r>
    <s v="TX502067"/>
    <x v="8"/>
    <x v="1"/>
    <n v="15.8"/>
    <n v="31.6"/>
    <x v="75"/>
    <d v="2025-03-20T00:00:00"/>
    <s v="F"/>
    <x v="2"/>
    <x v="1"/>
    <x v="0"/>
    <x v="1"/>
    <x v="2"/>
    <n v="12"/>
    <x v="2"/>
  </r>
  <r>
    <s v="TX502068"/>
    <x v="11"/>
    <x v="12"/>
    <n v="61.7"/>
    <n v="246.8"/>
    <x v="75"/>
    <d v="2025-03-19T00:00:00"/>
    <s v="F"/>
    <x v="2"/>
    <x v="0"/>
    <x v="0"/>
    <x v="22"/>
    <x v="1"/>
    <n v="12"/>
    <x v="2"/>
  </r>
  <r>
    <s v="TX502069"/>
    <x v="2"/>
    <x v="7"/>
    <n v="105.2"/>
    <n v="1052"/>
    <x v="75"/>
    <d v="2025-03-19T00:00:00"/>
    <s v="M"/>
    <x v="1"/>
    <x v="4"/>
    <x v="0"/>
    <x v="3"/>
    <x v="1"/>
    <n v="12"/>
    <x v="1"/>
  </r>
  <r>
    <s v="TX502070"/>
    <x v="0"/>
    <x v="1"/>
    <n v="17"/>
    <n v="34"/>
    <x v="75"/>
    <d v="2025-03-19T00:00:00"/>
    <s v="F"/>
    <x v="2"/>
    <x v="0"/>
    <x v="0"/>
    <x v="3"/>
    <x v="1"/>
    <n v="12"/>
    <x v="2"/>
  </r>
  <r>
    <s v="TX502071"/>
    <x v="6"/>
    <x v="2"/>
    <n v="84.1"/>
    <n v="252.29999999999998"/>
    <x v="75"/>
    <d v="2025-03-18T00:00:00"/>
    <s v="M"/>
    <x v="2"/>
    <x v="0"/>
    <x v="0"/>
    <x v="3"/>
    <x v="3"/>
    <n v="12"/>
    <x v="1"/>
  </r>
  <r>
    <s v="TX502072"/>
    <x v="3"/>
    <x v="12"/>
    <n v="59.5"/>
    <n v="238"/>
    <x v="75"/>
    <d v="2025-03-22T00:00:00"/>
    <s v="M"/>
    <x v="0"/>
    <x v="2"/>
    <x v="0"/>
    <x v="3"/>
    <x v="0"/>
    <n v="12"/>
    <x v="1"/>
  </r>
  <r>
    <s v="TX502073"/>
    <x v="8"/>
    <x v="1"/>
    <n v="57.5"/>
    <n v="115"/>
    <x v="75"/>
    <d v="2025-03-19T00:00:00"/>
    <s v="M"/>
    <x v="1"/>
    <x v="2"/>
    <x v="0"/>
    <x v="3"/>
    <x v="1"/>
    <n v="12"/>
    <x v="1"/>
  </r>
  <r>
    <s v="TX502074"/>
    <x v="8"/>
    <x v="0"/>
    <n v="34.299999999999997"/>
    <n v="34.299999999999997"/>
    <x v="75"/>
    <d v="2025-03-18T00:00:00"/>
    <s v="F"/>
    <x v="4"/>
    <x v="2"/>
    <x v="0"/>
    <x v="3"/>
    <x v="3"/>
    <n v="12"/>
    <x v="2"/>
  </r>
  <r>
    <s v="TX502075"/>
    <x v="5"/>
    <x v="1"/>
    <n v="27.8"/>
    <n v="55.6"/>
    <x v="76"/>
    <d v="2025-03-20T00:00:00"/>
    <s v="F"/>
    <x v="0"/>
    <x v="0"/>
    <x v="0"/>
    <x v="3"/>
    <x v="1"/>
    <n v="12"/>
    <x v="2"/>
  </r>
  <r>
    <s v="TX502076"/>
    <x v="12"/>
    <x v="1"/>
    <n v="85"/>
    <n v="170"/>
    <x v="76"/>
    <d v="2025-03-18T00:00:00"/>
    <s v="M"/>
    <x v="2"/>
    <x v="2"/>
    <x v="0"/>
    <x v="3"/>
    <x v="7"/>
    <n v="12"/>
    <x v="1"/>
  </r>
  <r>
    <s v="TX502077"/>
    <x v="6"/>
    <x v="1"/>
    <n v="95"/>
    <n v="190"/>
    <x v="76"/>
    <d v="2025-03-20T00:00:00"/>
    <s v="F"/>
    <x v="0"/>
    <x v="0"/>
    <x v="0"/>
    <x v="3"/>
    <x v="1"/>
    <n v="12"/>
    <x v="2"/>
  </r>
  <r>
    <s v="TX502078"/>
    <x v="16"/>
    <x v="1"/>
    <n v="32"/>
    <n v="64"/>
    <x v="76"/>
    <d v="2025-03-20T00:00:00"/>
    <s v="M"/>
    <x v="0"/>
    <x v="1"/>
    <x v="0"/>
    <x v="3"/>
    <x v="1"/>
    <n v="12"/>
    <x v="1"/>
  </r>
  <r>
    <s v="TX502079"/>
    <x v="2"/>
    <x v="1"/>
    <n v="65.2"/>
    <n v="130.4"/>
    <x v="76"/>
    <d v="2025-03-19T00:00:00"/>
    <s v="F"/>
    <x v="1"/>
    <x v="0"/>
    <x v="0"/>
    <x v="3"/>
    <x v="3"/>
    <n v="12"/>
    <x v="2"/>
  </r>
  <r>
    <s v="TX502080"/>
    <x v="17"/>
    <x v="12"/>
    <n v="22"/>
    <n v="88"/>
    <x v="76"/>
    <d v="2025-03-19T00:00:00"/>
    <s v="M"/>
    <x v="1"/>
    <x v="2"/>
    <x v="0"/>
    <x v="3"/>
    <x v="3"/>
    <n v="12"/>
    <x v="1"/>
  </r>
  <r>
    <s v="TX502081"/>
    <x v="15"/>
    <x v="2"/>
    <n v="69.400000000000006"/>
    <n v="208.20000000000002"/>
    <x v="76"/>
    <d v="2025-03-21T00:00:00"/>
    <s v="M"/>
    <x v="1"/>
    <x v="2"/>
    <x v="0"/>
    <x v="3"/>
    <x v="2"/>
    <n v="12"/>
    <x v="1"/>
  </r>
  <r>
    <s v="TX502082"/>
    <x v="10"/>
    <x v="13"/>
    <n v="31.5"/>
    <n v="189"/>
    <x v="76"/>
    <d v="2025-03-20T00:00:00"/>
    <s v="F"/>
    <x v="0"/>
    <x v="2"/>
    <x v="0"/>
    <x v="3"/>
    <x v="1"/>
    <n v="12"/>
    <x v="2"/>
  </r>
  <r>
    <s v="TX502083"/>
    <x v="6"/>
    <x v="0"/>
    <n v="45.8"/>
    <n v="45.8"/>
    <x v="76"/>
    <d v="2025-03-22T00:00:00"/>
    <s v="O"/>
    <x v="0"/>
    <x v="0"/>
    <x v="0"/>
    <x v="3"/>
    <x v="5"/>
    <n v="12"/>
    <x v="3"/>
  </r>
  <r>
    <s v="TX502084"/>
    <x v="19"/>
    <x v="12"/>
    <n v="12.8"/>
    <n v="51.2"/>
    <x v="76"/>
    <d v="2025-03-25T00:00:00"/>
    <s v="F"/>
    <x v="1"/>
    <x v="1"/>
    <x v="0"/>
    <x v="5"/>
    <x v="6"/>
    <n v="12"/>
    <x v="2"/>
  </r>
  <r>
    <s v="TX502085"/>
    <x v="5"/>
    <x v="2"/>
    <n v="115.3"/>
    <n v="345.9"/>
    <x v="76"/>
    <d v="2025-03-19T00:00:00"/>
    <s v="F"/>
    <x v="2"/>
    <x v="2"/>
    <x v="0"/>
    <x v="6"/>
    <x v="3"/>
    <n v="12"/>
    <x v="2"/>
  </r>
  <r>
    <s v="TX502086"/>
    <x v="5"/>
    <x v="1"/>
    <n v="85"/>
    <n v="170"/>
    <x v="76"/>
    <d v="2025-03-20T00:00:00"/>
    <s v="F"/>
    <x v="1"/>
    <x v="0"/>
    <x v="0"/>
    <x v="7"/>
    <x v="1"/>
    <n v="12"/>
    <x v="2"/>
  </r>
  <r>
    <s v="TX502087"/>
    <x v="8"/>
    <x v="2"/>
    <n v="56.6"/>
    <n v="169.8"/>
    <x v="76"/>
    <d v="2025-03-19T00:00:00"/>
    <s v="F"/>
    <x v="1"/>
    <x v="2"/>
    <x v="0"/>
    <x v="7"/>
    <x v="3"/>
    <n v="12"/>
    <x v="2"/>
  </r>
  <r>
    <s v="TX502088"/>
    <x v="15"/>
    <x v="6"/>
    <n v="46.3"/>
    <n v="1250.0999999999999"/>
    <x v="76"/>
    <d v="2025-03-21T00:00:00"/>
    <s v="M"/>
    <x v="0"/>
    <x v="0"/>
    <x v="0"/>
    <x v="7"/>
    <x v="2"/>
    <n v="12"/>
    <x v="1"/>
  </r>
  <r>
    <s v="TX502089"/>
    <x v="14"/>
    <x v="12"/>
    <n v="23"/>
    <n v="92"/>
    <x v="76"/>
    <d v="2025-03-22T00:00:00"/>
    <s v="M"/>
    <x v="3"/>
    <x v="2"/>
    <x v="0"/>
    <x v="7"/>
    <x v="5"/>
    <n v="12"/>
    <x v="1"/>
  </r>
  <r>
    <s v="TX502090"/>
    <x v="8"/>
    <x v="13"/>
    <n v="42.1"/>
    <n v="252.60000000000002"/>
    <x v="76"/>
    <d v="2025-03-20T00:00:00"/>
    <s v="M"/>
    <x v="4"/>
    <x v="0"/>
    <x v="0"/>
    <x v="8"/>
    <x v="1"/>
    <n v="12"/>
    <x v="1"/>
  </r>
  <r>
    <s v="TX502091"/>
    <x v="5"/>
    <x v="3"/>
    <n v="57.4"/>
    <n v="401.8"/>
    <x v="76"/>
    <d v="2025-03-22T00:00:00"/>
    <s v="F"/>
    <x v="1"/>
    <x v="4"/>
    <x v="0"/>
    <x v="8"/>
    <x v="5"/>
    <n v="12"/>
    <x v="2"/>
  </r>
  <r>
    <s v="TX502092"/>
    <x v="0"/>
    <x v="13"/>
    <n v="13.2"/>
    <n v="79.199999999999989"/>
    <x v="76"/>
    <d v="2025-03-22T00:00:00"/>
    <s v="M"/>
    <x v="2"/>
    <x v="0"/>
    <x v="0"/>
    <x v="8"/>
    <x v="5"/>
    <n v="12"/>
    <x v="1"/>
  </r>
  <r>
    <s v="TX502093"/>
    <x v="6"/>
    <x v="2"/>
    <n v="52.3"/>
    <n v="156.89999999999998"/>
    <x v="76"/>
    <d v="2025-03-19T00:00:00"/>
    <s v="M"/>
    <x v="1"/>
    <x v="0"/>
    <x v="0"/>
    <x v="8"/>
    <x v="3"/>
    <n v="12"/>
    <x v="1"/>
  </r>
  <r>
    <s v="TX502094"/>
    <x v="8"/>
    <x v="1"/>
    <n v="15.7"/>
    <n v="31.4"/>
    <x v="76"/>
    <d v="2025-03-21T00:00:00"/>
    <s v="M"/>
    <x v="1"/>
    <x v="2"/>
    <x v="0"/>
    <x v="8"/>
    <x v="2"/>
    <n v="12"/>
    <x v="1"/>
  </r>
  <r>
    <s v="TX502095"/>
    <x v="7"/>
    <x v="2"/>
    <n v="35"/>
    <n v="105"/>
    <x v="76"/>
    <d v="2025-03-21T00:00:00"/>
    <s v="F"/>
    <x v="1"/>
    <x v="2"/>
    <x v="0"/>
    <x v="9"/>
    <x v="2"/>
    <n v="12"/>
    <x v="2"/>
  </r>
  <r>
    <s v="TX502096"/>
    <x v="4"/>
    <x v="2"/>
    <n v="26.6"/>
    <n v="79.800000000000011"/>
    <x v="76"/>
    <d v="2025-03-18T00:00:00"/>
    <s v="M"/>
    <x v="1"/>
    <x v="2"/>
    <x v="0"/>
    <x v="11"/>
    <x v="7"/>
    <n v="12"/>
    <x v="1"/>
  </r>
  <r>
    <s v="TX502097"/>
    <x v="4"/>
    <x v="8"/>
    <n v="47.9"/>
    <n v="383.2"/>
    <x v="77"/>
    <d v="2025-03-20T00:00:00"/>
    <s v="F"/>
    <x v="3"/>
    <x v="2"/>
    <x v="0"/>
    <x v="20"/>
    <x v="3"/>
    <n v="12"/>
    <x v="2"/>
  </r>
  <r>
    <s v="TX502098"/>
    <x v="5"/>
    <x v="0"/>
    <n v="80.099999999999994"/>
    <n v="80.099999999999994"/>
    <x v="77"/>
    <d v="2025-03-20T00:00:00"/>
    <s v="M"/>
    <x v="2"/>
    <x v="0"/>
    <x v="0"/>
    <x v="21"/>
    <x v="3"/>
    <n v="12"/>
    <x v="1"/>
  </r>
  <r>
    <s v="TX502099"/>
    <x v="6"/>
    <x v="9"/>
    <n v="50.4"/>
    <n v="252"/>
    <x v="77"/>
    <d v="2025-03-20T00:00:00"/>
    <s v="M"/>
    <x v="1"/>
    <x v="2"/>
    <x v="0"/>
    <x v="21"/>
    <x v="3"/>
    <n v="12"/>
    <x v="1"/>
  </r>
  <r>
    <s v="TX502100"/>
    <x v="10"/>
    <x v="3"/>
    <n v="43.3"/>
    <n v="303.09999999999997"/>
    <x v="77"/>
    <d v="2025-03-20T00:00:00"/>
    <s v="M"/>
    <x v="2"/>
    <x v="0"/>
    <x v="0"/>
    <x v="21"/>
    <x v="3"/>
    <n v="12"/>
    <x v="1"/>
  </r>
  <r>
    <s v="TX502101"/>
    <x v="10"/>
    <x v="12"/>
    <n v="57.5"/>
    <n v="230"/>
    <x v="77"/>
    <d v="2025-03-20T00:00:00"/>
    <s v="F"/>
    <x v="1"/>
    <x v="2"/>
    <x v="0"/>
    <x v="1"/>
    <x v="3"/>
    <n v="12"/>
    <x v="2"/>
  </r>
  <r>
    <s v="TX502102"/>
    <x v="9"/>
    <x v="15"/>
    <n v="24.8"/>
    <n v="322.40000000000003"/>
    <x v="77"/>
    <d v="2025-03-20T00:00:00"/>
    <s v="M"/>
    <x v="0"/>
    <x v="0"/>
    <x v="0"/>
    <x v="57"/>
    <x v="3"/>
    <n v="12"/>
    <x v="1"/>
  </r>
  <r>
    <s v="TX502103"/>
    <x v="2"/>
    <x v="11"/>
    <n v="85.7"/>
    <n v="771.30000000000007"/>
    <x v="77"/>
    <d v="2025-03-20T00:00:00"/>
    <s v="F"/>
    <x v="0"/>
    <x v="0"/>
    <x v="0"/>
    <x v="42"/>
    <x v="3"/>
    <n v="12"/>
    <x v="2"/>
  </r>
  <r>
    <s v="TX502104"/>
    <x v="7"/>
    <x v="0"/>
    <n v="47.1"/>
    <n v="47.1"/>
    <x v="77"/>
    <d v="2025-03-21T00:00:00"/>
    <s v="F"/>
    <x v="0"/>
    <x v="0"/>
    <x v="0"/>
    <x v="2"/>
    <x v="1"/>
    <n v="12"/>
    <x v="2"/>
  </r>
  <r>
    <s v="TX502105"/>
    <x v="5"/>
    <x v="7"/>
    <n v="83.2"/>
    <n v="832"/>
    <x v="77"/>
    <d v="2025-03-23T00:00:00"/>
    <s v="F"/>
    <x v="0"/>
    <x v="0"/>
    <x v="0"/>
    <x v="33"/>
    <x v="5"/>
    <n v="12"/>
    <x v="2"/>
  </r>
  <r>
    <s v="TX502106"/>
    <x v="2"/>
    <x v="2"/>
    <n v="157"/>
    <n v="471"/>
    <x v="77"/>
    <d v="2025-03-21T00:00:00"/>
    <s v="F"/>
    <x v="0"/>
    <x v="2"/>
    <x v="0"/>
    <x v="22"/>
    <x v="1"/>
    <n v="12"/>
    <x v="2"/>
  </r>
  <r>
    <s v="TX502107"/>
    <x v="16"/>
    <x v="12"/>
    <n v="33.700000000000003"/>
    <n v="134.80000000000001"/>
    <x v="77"/>
    <d v="2025-03-20T00:00:00"/>
    <s v="M"/>
    <x v="2"/>
    <x v="2"/>
    <x v="0"/>
    <x v="22"/>
    <x v="3"/>
    <n v="12"/>
    <x v="1"/>
  </r>
  <r>
    <s v="TX502108"/>
    <x v="2"/>
    <x v="2"/>
    <n v="60.8"/>
    <n v="182.39999999999998"/>
    <x v="77"/>
    <d v="2025-03-23T00:00:00"/>
    <s v="F"/>
    <x v="1"/>
    <x v="1"/>
    <x v="0"/>
    <x v="3"/>
    <x v="5"/>
    <n v="12"/>
    <x v="2"/>
  </r>
  <r>
    <s v="TX502109"/>
    <x v="7"/>
    <x v="0"/>
    <n v="57.6"/>
    <n v="57.6"/>
    <x v="77"/>
    <d v="2025-03-20T00:00:00"/>
    <s v="M"/>
    <x v="1"/>
    <x v="4"/>
    <x v="0"/>
    <x v="3"/>
    <x v="3"/>
    <n v="12"/>
    <x v="1"/>
  </r>
  <r>
    <s v="TX502110"/>
    <x v="10"/>
    <x v="0"/>
    <n v="32"/>
    <n v="32"/>
    <x v="77"/>
    <d v="2025-03-21T00:00:00"/>
    <s v="M"/>
    <x v="0"/>
    <x v="0"/>
    <x v="0"/>
    <x v="3"/>
    <x v="1"/>
    <n v="12"/>
    <x v="1"/>
  </r>
  <r>
    <s v="TX502111"/>
    <x v="10"/>
    <x v="12"/>
    <n v="23.5"/>
    <n v="94"/>
    <x v="77"/>
    <d v="2025-03-20T00:00:00"/>
    <s v="F"/>
    <x v="0"/>
    <x v="2"/>
    <x v="0"/>
    <x v="3"/>
    <x v="3"/>
    <n v="12"/>
    <x v="2"/>
  </r>
  <r>
    <s v="TX502112"/>
    <x v="12"/>
    <x v="2"/>
    <n v="44.8"/>
    <n v="134.39999999999998"/>
    <x v="77"/>
    <d v="2025-03-20T00:00:00"/>
    <s v="O"/>
    <x v="4"/>
    <x v="0"/>
    <x v="0"/>
    <x v="3"/>
    <x v="3"/>
    <n v="12"/>
    <x v="3"/>
  </r>
  <r>
    <s v="TX502113"/>
    <x v="0"/>
    <x v="8"/>
    <n v="11.7"/>
    <n v="93.6"/>
    <x v="77"/>
    <d v="2025-03-20T00:00:00"/>
    <s v="M"/>
    <x v="2"/>
    <x v="2"/>
    <x v="0"/>
    <x v="3"/>
    <x v="3"/>
    <n v="12"/>
    <x v="1"/>
  </r>
  <r>
    <s v="TX502114"/>
    <x v="7"/>
    <x v="1"/>
    <n v="38.799999999999997"/>
    <n v="77.599999999999994"/>
    <x v="77"/>
    <d v="2025-03-22T00:00:00"/>
    <s v="F"/>
    <x v="2"/>
    <x v="0"/>
    <x v="0"/>
    <x v="3"/>
    <x v="2"/>
    <n v="12"/>
    <x v="2"/>
  </r>
  <r>
    <s v="TX502115"/>
    <x v="5"/>
    <x v="21"/>
    <n v="86.9"/>
    <n v="1216.6000000000001"/>
    <x v="77"/>
    <d v="2025-03-24T00:00:00"/>
    <s v="F"/>
    <x v="1"/>
    <x v="0"/>
    <x v="0"/>
    <x v="3"/>
    <x v="0"/>
    <n v="12"/>
    <x v="2"/>
  </r>
  <r>
    <s v="TX502116"/>
    <x v="8"/>
    <x v="0"/>
    <n v="18.3"/>
    <n v="18.3"/>
    <x v="77"/>
    <d v="2025-03-20T00:00:00"/>
    <s v="F"/>
    <x v="0"/>
    <x v="0"/>
    <x v="0"/>
    <x v="3"/>
    <x v="3"/>
    <n v="12"/>
    <x v="2"/>
  </r>
  <r>
    <s v="TX502117"/>
    <x v="5"/>
    <x v="0"/>
    <n v="47.5"/>
    <n v="47.5"/>
    <x v="77"/>
    <d v="2025-03-23T00:00:00"/>
    <s v="M"/>
    <x v="4"/>
    <x v="2"/>
    <x v="0"/>
    <x v="3"/>
    <x v="5"/>
    <n v="12"/>
    <x v="1"/>
  </r>
  <r>
    <s v="TX502118"/>
    <x v="1"/>
    <x v="1"/>
    <n v="78.599999999999994"/>
    <n v="157.19999999999999"/>
    <x v="77"/>
    <d v="2025-03-20T00:00:00"/>
    <s v="M"/>
    <x v="2"/>
    <x v="2"/>
    <x v="0"/>
    <x v="3"/>
    <x v="3"/>
    <n v="12"/>
    <x v="1"/>
  </r>
  <r>
    <s v="TX502119"/>
    <x v="6"/>
    <x v="12"/>
    <n v="87.3"/>
    <n v="349.2"/>
    <x v="77"/>
    <d v="2025-03-20T00:00:00"/>
    <s v="M"/>
    <x v="0"/>
    <x v="0"/>
    <x v="0"/>
    <x v="3"/>
    <x v="3"/>
    <n v="12"/>
    <x v="1"/>
  </r>
  <r>
    <s v="TX502120"/>
    <x v="9"/>
    <x v="1"/>
    <n v="63.2"/>
    <n v="126.4"/>
    <x v="77"/>
    <d v="2025-03-19T00:00:00"/>
    <s v="M"/>
    <x v="4"/>
    <x v="1"/>
    <x v="0"/>
    <x v="3"/>
    <x v="7"/>
    <n v="12"/>
    <x v="1"/>
  </r>
  <r>
    <s v="TX502121"/>
    <x v="5"/>
    <x v="9"/>
    <n v="33.700000000000003"/>
    <n v="168.5"/>
    <x v="77"/>
    <d v="2025-03-20T00:00:00"/>
    <s v="F"/>
    <x v="0"/>
    <x v="0"/>
    <x v="0"/>
    <x v="3"/>
    <x v="3"/>
    <n v="12"/>
    <x v="2"/>
  </r>
  <r>
    <s v="TX502122"/>
    <x v="2"/>
    <x v="2"/>
    <n v="107.4"/>
    <n v="322.20000000000005"/>
    <x v="77"/>
    <d v="2025-04-01T00:00:00"/>
    <s v="F"/>
    <x v="1"/>
    <x v="2"/>
    <x v="0"/>
    <x v="3"/>
    <x v="10"/>
    <n v="12"/>
    <x v="2"/>
  </r>
  <r>
    <s v="TX502123"/>
    <x v="4"/>
    <x v="12"/>
    <n v="22.2"/>
    <n v="88.8"/>
    <x v="77"/>
    <d v="2025-03-20T00:00:00"/>
    <s v=""/>
    <x v="1"/>
    <x v="2"/>
    <x v="0"/>
    <x v="24"/>
    <x v="3"/>
    <n v="12"/>
    <x v="0"/>
  </r>
  <r>
    <s v="TX502124"/>
    <x v="18"/>
    <x v="2"/>
    <n v="52.8"/>
    <n v="158.39999999999998"/>
    <x v="77"/>
    <d v="2025-03-20T00:00:00"/>
    <s v="M"/>
    <x v="3"/>
    <x v="2"/>
    <x v="0"/>
    <x v="24"/>
    <x v="3"/>
    <n v="12"/>
    <x v="1"/>
  </r>
  <r>
    <s v="TX502125"/>
    <x v="8"/>
    <x v="2"/>
    <n v="41.5"/>
    <n v="124.5"/>
    <x v="77"/>
    <d v="2025-03-22T00:00:00"/>
    <s v="F"/>
    <x v="0"/>
    <x v="0"/>
    <x v="0"/>
    <x v="25"/>
    <x v="2"/>
    <n v="12"/>
    <x v="2"/>
  </r>
  <r>
    <s v="TX502126"/>
    <x v="12"/>
    <x v="8"/>
    <n v="103.5"/>
    <n v="828"/>
    <x v="77"/>
    <d v="2025-03-22T00:00:00"/>
    <s v="F"/>
    <x v="0"/>
    <x v="2"/>
    <x v="0"/>
    <x v="23"/>
    <x v="2"/>
    <n v="12"/>
    <x v="2"/>
  </r>
  <r>
    <s v="TX502127"/>
    <x v="4"/>
    <x v="21"/>
    <n v="37.5"/>
    <n v="525"/>
    <x v="77"/>
    <d v="2025-03-19T00:00:00"/>
    <s v="F"/>
    <x v="1"/>
    <x v="2"/>
    <x v="0"/>
    <x v="6"/>
    <x v="7"/>
    <n v="12"/>
    <x v="2"/>
  </r>
  <r>
    <s v="TX502128"/>
    <x v="15"/>
    <x v="8"/>
    <n v="44.4"/>
    <n v="355.2"/>
    <x v="77"/>
    <d v="2025-03-25T00:00:00"/>
    <s v="F"/>
    <x v="3"/>
    <x v="2"/>
    <x v="0"/>
    <x v="7"/>
    <x v="4"/>
    <n v="12"/>
    <x v="2"/>
  </r>
  <r>
    <s v="TX502129"/>
    <x v="8"/>
    <x v="2"/>
    <n v="26.2"/>
    <n v="78.599999999999994"/>
    <x v="77"/>
    <d v="2025-03-20T00:00:00"/>
    <s v="M"/>
    <x v="0"/>
    <x v="0"/>
    <x v="0"/>
    <x v="8"/>
    <x v="3"/>
    <n v="12"/>
    <x v="1"/>
  </r>
  <r>
    <s v="TX502130"/>
    <x v="1"/>
    <x v="3"/>
    <n v="32.200000000000003"/>
    <n v="225.40000000000003"/>
    <x v="77"/>
    <d v="2025-03-20T00:00:00"/>
    <s v="F"/>
    <x v="1"/>
    <x v="2"/>
    <x v="0"/>
    <x v="8"/>
    <x v="3"/>
    <n v="12"/>
    <x v="2"/>
  </r>
  <r>
    <s v="TX502131"/>
    <x v="8"/>
    <x v="0"/>
    <n v="17.399999999999999"/>
    <n v="17.399999999999999"/>
    <x v="77"/>
    <d v="2025-03-23T00:00:00"/>
    <s v=""/>
    <x v="2"/>
    <x v="1"/>
    <x v="0"/>
    <x v="8"/>
    <x v="5"/>
    <n v="12"/>
    <x v="0"/>
  </r>
  <r>
    <s v="TX502132"/>
    <x v="8"/>
    <x v="13"/>
    <n v="72.3"/>
    <n v="433.79999999999995"/>
    <x v="77"/>
    <d v="2025-03-22T00:00:00"/>
    <s v="F"/>
    <x v="0"/>
    <x v="0"/>
    <x v="0"/>
    <x v="8"/>
    <x v="2"/>
    <n v="12"/>
    <x v="2"/>
  </r>
  <r>
    <s v="TX502133"/>
    <x v="8"/>
    <x v="5"/>
    <n v="24.3"/>
    <n v="267.3"/>
    <x v="77"/>
    <d v="2025-03-20T00:00:00"/>
    <s v="M"/>
    <x v="0"/>
    <x v="0"/>
    <x v="0"/>
    <x v="8"/>
    <x v="3"/>
    <n v="12"/>
    <x v="1"/>
  </r>
  <r>
    <s v="TX502134"/>
    <x v="13"/>
    <x v="2"/>
    <n v="49.1"/>
    <n v="147.30000000000001"/>
    <x v="77"/>
    <d v="2025-03-25T00:00:00"/>
    <s v="M"/>
    <x v="2"/>
    <x v="4"/>
    <x v="0"/>
    <x v="8"/>
    <x v="4"/>
    <n v="12"/>
    <x v="1"/>
  </r>
  <r>
    <s v="TX502135"/>
    <x v="2"/>
    <x v="7"/>
    <n v="234.7"/>
    <n v="2347"/>
    <x v="77"/>
    <d v="2025-03-20T00:00:00"/>
    <s v="M"/>
    <x v="3"/>
    <x v="1"/>
    <x v="0"/>
    <x v="8"/>
    <x v="3"/>
    <n v="12"/>
    <x v="1"/>
  </r>
  <r>
    <s v="TX502136"/>
    <x v="3"/>
    <x v="9"/>
    <n v="76.099999999999994"/>
    <n v="380.5"/>
    <x v="77"/>
    <d v="2025-03-21T00:00:00"/>
    <s v="M"/>
    <x v="1"/>
    <x v="1"/>
    <x v="0"/>
    <x v="17"/>
    <x v="1"/>
    <n v="12"/>
    <x v="1"/>
  </r>
  <r>
    <s v="TX502137"/>
    <x v="1"/>
    <x v="2"/>
    <n v="93.9"/>
    <n v="281.70000000000005"/>
    <x v="77"/>
    <d v="2025-03-20T00:00:00"/>
    <s v="M"/>
    <x v="1"/>
    <x v="4"/>
    <x v="0"/>
    <x v="11"/>
    <x v="3"/>
    <n v="12"/>
    <x v="1"/>
  </r>
  <r>
    <s v="TX502138"/>
    <x v="2"/>
    <x v="12"/>
    <n v="187"/>
    <n v="748"/>
    <x v="78"/>
    <d v="2025-03-23T00:00:00"/>
    <s v="M"/>
    <x v="0"/>
    <x v="0"/>
    <x v="0"/>
    <x v="11"/>
    <x v="2"/>
    <n v="12"/>
    <x v="1"/>
  </r>
  <r>
    <s v="TX502139"/>
    <x v="8"/>
    <x v="1"/>
    <n v="18"/>
    <n v="36"/>
    <x v="78"/>
    <d v="2025-03-21T00:00:00"/>
    <s v="F"/>
    <x v="1"/>
    <x v="2"/>
    <x v="0"/>
    <x v="53"/>
    <x v="3"/>
    <n v="12"/>
    <x v="2"/>
  </r>
  <r>
    <s v="TX502140"/>
    <x v="4"/>
    <x v="0"/>
    <n v="24.4"/>
    <n v="24.4"/>
    <x v="78"/>
    <d v="2025-03-21T00:00:00"/>
    <s v="F"/>
    <x v="4"/>
    <x v="2"/>
    <x v="0"/>
    <x v="21"/>
    <x v="3"/>
    <n v="12"/>
    <x v="2"/>
  </r>
  <r>
    <s v="TX502141"/>
    <x v="10"/>
    <x v="1"/>
    <n v="38.799999999999997"/>
    <n v="77.599999999999994"/>
    <x v="78"/>
    <d v="2025-03-21T00:00:00"/>
    <s v="M"/>
    <x v="4"/>
    <x v="1"/>
    <x v="0"/>
    <x v="3"/>
    <x v="3"/>
    <n v="12"/>
    <x v="1"/>
  </r>
  <r>
    <s v="TX502142"/>
    <x v="3"/>
    <x v="0"/>
    <n v="59.7"/>
    <n v="59.7"/>
    <x v="78"/>
    <d v="2025-03-23T00:00:00"/>
    <s v="M"/>
    <x v="3"/>
    <x v="0"/>
    <x v="0"/>
    <x v="3"/>
    <x v="2"/>
    <n v="12"/>
    <x v="1"/>
  </r>
  <r>
    <s v="TX502143"/>
    <x v="7"/>
    <x v="0"/>
    <n v="31.2"/>
    <n v="31.2"/>
    <x v="78"/>
    <d v="2025-03-21T00:00:00"/>
    <s v="M"/>
    <x v="1"/>
    <x v="2"/>
    <x v="0"/>
    <x v="3"/>
    <x v="3"/>
    <n v="12"/>
    <x v="1"/>
  </r>
  <r>
    <s v="TX502144"/>
    <x v="0"/>
    <x v="0"/>
    <n v="16.8"/>
    <n v="16.8"/>
    <x v="78"/>
    <d v="2025-03-21T00:00:00"/>
    <s v="F"/>
    <x v="2"/>
    <x v="1"/>
    <x v="0"/>
    <x v="3"/>
    <x v="3"/>
    <n v="12"/>
    <x v="2"/>
  </r>
  <r>
    <s v="TX502145"/>
    <x v="8"/>
    <x v="0"/>
    <n v="46"/>
    <n v="46"/>
    <x v="78"/>
    <d v="2025-03-21T00:00:00"/>
    <s v="M"/>
    <x v="0"/>
    <x v="0"/>
    <x v="0"/>
    <x v="3"/>
    <x v="3"/>
    <n v="12"/>
    <x v="1"/>
  </r>
  <r>
    <s v="TX502146"/>
    <x v="9"/>
    <x v="8"/>
    <n v="42.2"/>
    <n v="337.6"/>
    <x v="78"/>
    <d v="2025-03-23T00:00:00"/>
    <s v="F"/>
    <x v="3"/>
    <x v="2"/>
    <x v="0"/>
    <x v="3"/>
    <x v="2"/>
    <n v="12"/>
    <x v="2"/>
  </r>
  <r>
    <s v="TX502147"/>
    <x v="1"/>
    <x v="2"/>
    <n v="71.5"/>
    <n v="214.5"/>
    <x v="78"/>
    <d v="2025-04-03T00:00:00"/>
    <s v="F"/>
    <x v="0"/>
    <x v="0"/>
    <x v="0"/>
    <x v="3"/>
    <x v="12"/>
    <n v="12"/>
    <x v="2"/>
  </r>
  <r>
    <s v="TX502148"/>
    <x v="1"/>
    <x v="1"/>
    <n v="76.599999999999994"/>
    <n v="153.19999999999999"/>
    <x v="78"/>
    <d v="2025-03-20T00:00:00"/>
    <s v="M"/>
    <x v="0"/>
    <x v="2"/>
    <x v="0"/>
    <x v="3"/>
    <x v="7"/>
    <n v="12"/>
    <x v="1"/>
  </r>
  <r>
    <s v="TX502149"/>
    <x v="12"/>
    <x v="1"/>
    <n v="87.3"/>
    <n v="174.6"/>
    <x v="78"/>
    <d v="2025-03-28T00:00:00"/>
    <s v="F"/>
    <x v="3"/>
    <x v="2"/>
    <x v="0"/>
    <x v="3"/>
    <x v="9"/>
    <n v="12"/>
    <x v="2"/>
  </r>
  <r>
    <s v="TX502150"/>
    <x v="1"/>
    <x v="0"/>
    <n v="63"/>
    <n v="63"/>
    <x v="78"/>
    <d v="2025-03-23T00:00:00"/>
    <s v="M"/>
    <x v="3"/>
    <x v="0"/>
    <x v="0"/>
    <x v="3"/>
    <x v="2"/>
    <n v="12"/>
    <x v="1"/>
  </r>
  <r>
    <s v="TX502151"/>
    <x v="8"/>
    <x v="1"/>
    <n v="41.7"/>
    <n v="83.4"/>
    <x v="78"/>
    <d v="2025-03-21T00:00:00"/>
    <s v="F"/>
    <x v="4"/>
    <x v="1"/>
    <x v="0"/>
    <x v="43"/>
    <x v="3"/>
    <n v="12"/>
    <x v="2"/>
  </r>
  <r>
    <s v="TX502152"/>
    <x v="6"/>
    <x v="1"/>
    <n v="76.099999999999994"/>
    <n v="152.19999999999999"/>
    <x v="78"/>
    <d v="2025-03-20T00:00:00"/>
    <s v="F"/>
    <x v="4"/>
    <x v="2"/>
    <x v="0"/>
    <x v="16"/>
    <x v="7"/>
    <n v="12"/>
    <x v="2"/>
  </r>
  <r>
    <s v="TX502153"/>
    <x v="13"/>
    <x v="1"/>
    <n v="28.5"/>
    <n v="57"/>
    <x v="78"/>
    <d v="2025-03-21T00:00:00"/>
    <s v="F"/>
    <x v="0"/>
    <x v="2"/>
    <x v="0"/>
    <x v="4"/>
    <x v="3"/>
    <n v="12"/>
    <x v="2"/>
  </r>
  <r>
    <s v="TX502154"/>
    <x v="0"/>
    <x v="12"/>
    <n v="32.1"/>
    <n v="128.4"/>
    <x v="78"/>
    <d v="2025-03-21T00:00:00"/>
    <s v="F"/>
    <x v="1"/>
    <x v="2"/>
    <x v="0"/>
    <x v="25"/>
    <x v="3"/>
    <n v="12"/>
    <x v="2"/>
  </r>
  <r>
    <s v="TX502155"/>
    <x v="4"/>
    <x v="2"/>
    <n v="39"/>
    <n v="117"/>
    <x v="78"/>
    <d v="2025-03-23T00:00:00"/>
    <s v="M"/>
    <x v="1"/>
    <x v="2"/>
    <x v="0"/>
    <x v="25"/>
    <x v="2"/>
    <n v="12"/>
    <x v="1"/>
  </r>
  <r>
    <s v="TX502156"/>
    <x v="6"/>
    <x v="0"/>
    <n v="78.5"/>
    <n v="78.5"/>
    <x v="78"/>
    <d v="2025-03-21T00:00:00"/>
    <s v="M"/>
    <x v="1"/>
    <x v="0"/>
    <x v="0"/>
    <x v="6"/>
    <x v="3"/>
    <n v="12"/>
    <x v="1"/>
  </r>
  <r>
    <s v="TX502157"/>
    <x v="4"/>
    <x v="9"/>
    <n v="49.7"/>
    <n v="248.5"/>
    <x v="78"/>
    <d v="2025-03-22T00:00:00"/>
    <s v="F"/>
    <x v="0"/>
    <x v="0"/>
    <x v="0"/>
    <x v="6"/>
    <x v="1"/>
    <n v="12"/>
    <x v="2"/>
  </r>
  <r>
    <s v="TX502158"/>
    <x v="1"/>
    <x v="12"/>
    <n v="68.400000000000006"/>
    <n v="273.60000000000002"/>
    <x v="78"/>
    <d v="2025-03-21T00:00:00"/>
    <s v="F"/>
    <x v="2"/>
    <x v="2"/>
    <x v="0"/>
    <x v="7"/>
    <x v="3"/>
    <n v="12"/>
    <x v="2"/>
  </r>
  <r>
    <s v="TX502159"/>
    <x v="3"/>
    <x v="1"/>
    <n v="72.900000000000006"/>
    <n v="145.80000000000001"/>
    <x v="78"/>
    <d v="2025-03-23T00:00:00"/>
    <s v=""/>
    <x v="0"/>
    <x v="2"/>
    <x v="0"/>
    <x v="7"/>
    <x v="2"/>
    <n v="12"/>
    <x v="0"/>
  </r>
  <r>
    <s v="TX502160"/>
    <x v="5"/>
    <x v="15"/>
    <n v="30.3"/>
    <n v="393.90000000000003"/>
    <x v="78"/>
    <d v="2025-03-21T00:00:00"/>
    <s v="M"/>
    <x v="4"/>
    <x v="0"/>
    <x v="0"/>
    <x v="7"/>
    <x v="3"/>
    <n v="12"/>
    <x v="1"/>
  </r>
  <r>
    <s v="TX502161"/>
    <x v="6"/>
    <x v="5"/>
    <n v="57.9"/>
    <n v="636.9"/>
    <x v="78"/>
    <d v="2025-03-21T00:00:00"/>
    <s v="F"/>
    <x v="0"/>
    <x v="0"/>
    <x v="0"/>
    <x v="8"/>
    <x v="3"/>
    <n v="12"/>
    <x v="2"/>
  </r>
  <r>
    <s v="TX502162"/>
    <x v="1"/>
    <x v="0"/>
    <n v="96.7"/>
    <n v="96.7"/>
    <x v="78"/>
    <d v="2025-03-21T00:00:00"/>
    <s v="M"/>
    <x v="0"/>
    <x v="0"/>
    <x v="0"/>
    <x v="8"/>
    <x v="3"/>
    <n v="12"/>
    <x v="1"/>
  </r>
  <r>
    <s v="TX502163"/>
    <x v="8"/>
    <x v="4"/>
    <n v="27.6"/>
    <n v="331.20000000000005"/>
    <x v="78"/>
    <d v="2025-03-22T00:00:00"/>
    <s v="M"/>
    <x v="2"/>
    <x v="2"/>
    <x v="0"/>
    <x v="8"/>
    <x v="1"/>
    <n v="12"/>
    <x v="1"/>
  </r>
  <r>
    <s v="TX502164"/>
    <x v="6"/>
    <x v="12"/>
    <n v="64.7"/>
    <n v="258.8"/>
    <x v="78"/>
    <d v="2025-03-20T00:00:00"/>
    <s v="M"/>
    <x v="3"/>
    <x v="2"/>
    <x v="0"/>
    <x v="8"/>
    <x v="7"/>
    <n v="12"/>
    <x v="1"/>
  </r>
  <r>
    <s v="TX502165"/>
    <x v="10"/>
    <x v="13"/>
    <n v="30.5"/>
    <n v="183"/>
    <x v="78"/>
    <d v="2025-03-21T00:00:00"/>
    <s v="M"/>
    <x v="4"/>
    <x v="0"/>
    <x v="0"/>
    <x v="8"/>
    <x v="3"/>
    <n v="12"/>
    <x v="1"/>
  </r>
  <r>
    <s v="TX502166"/>
    <x v="6"/>
    <x v="47"/>
    <n v="106"/>
    <n v="7420"/>
    <x v="79"/>
    <d v="2025-03-23T00:00:00"/>
    <s v="M"/>
    <x v="4"/>
    <x v="2"/>
    <x v="0"/>
    <x v="8"/>
    <x v="1"/>
    <n v="12"/>
    <x v="1"/>
  </r>
  <r>
    <s v="TX502167"/>
    <x v="12"/>
    <x v="9"/>
    <n v="76.8"/>
    <n v="384"/>
    <x v="79"/>
    <d v="2025-03-27T00:00:00"/>
    <s v=""/>
    <x v="1"/>
    <x v="1"/>
    <x v="0"/>
    <x v="18"/>
    <x v="4"/>
    <n v="12"/>
    <x v="0"/>
  </r>
  <r>
    <s v="TX502168"/>
    <x v="6"/>
    <x v="1"/>
    <n v="80.400000000000006"/>
    <n v="160.80000000000001"/>
    <x v="79"/>
    <d v="2025-03-22T00:00:00"/>
    <s v="F"/>
    <x v="2"/>
    <x v="0"/>
    <x v="0"/>
    <x v="13"/>
    <x v="3"/>
    <n v="12"/>
    <x v="2"/>
  </r>
  <r>
    <s v="TX502169"/>
    <x v="6"/>
    <x v="12"/>
    <n v="69.099999999999994"/>
    <n v="276.39999999999998"/>
    <x v="79"/>
    <d v="2025-03-22T00:00:00"/>
    <s v="M"/>
    <x v="1"/>
    <x v="2"/>
    <x v="0"/>
    <x v="21"/>
    <x v="3"/>
    <n v="12"/>
    <x v="1"/>
  </r>
  <r>
    <s v="TX502170"/>
    <x v="18"/>
    <x v="1"/>
    <n v="76.400000000000006"/>
    <n v="152.80000000000001"/>
    <x v="79"/>
    <d v="2025-03-21T00:00:00"/>
    <s v="M"/>
    <x v="3"/>
    <x v="0"/>
    <x v="0"/>
    <x v="21"/>
    <x v="7"/>
    <n v="12"/>
    <x v="1"/>
  </r>
  <r>
    <s v="TX502171"/>
    <x v="2"/>
    <x v="1"/>
    <n v="61.3"/>
    <n v="122.6"/>
    <x v="79"/>
    <d v="2025-03-22T00:00:00"/>
    <s v="F"/>
    <x v="1"/>
    <x v="1"/>
    <x v="0"/>
    <x v="21"/>
    <x v="3"/>
    <n v="12"/>
    <x v="2"/>
  </r>
  <r>
    <s v="TX502172"/>
    <x v="7"/>
    <x v="0"/>
    <n v="58"/>
    <n v="58"/>
    <x v="79"/>
    <d v="2025-03-22T00:00:00"/>
    <s v="M"/>
    <x v="3"/>
    <x v="1"/>
    <x v="0"/>
    <x v="1"/>
    <x v="3"/>
    <n v="12"/>
    <x v="1"/>
  </r>
  <r>
    <s v="TX502173"/>
    <x v="2"/>
    <x v="8"/>
    <n v="102.3"/>
    <n v="818.4"/>
    <x v="79"/>
    <d v="2025-03-23T00:00:00"/>
    <s v="M"/>
    <x v="2"/>
    <x v="0"/>
    <x v="0"/>
    <x v="42"/>
    <x v="1"/>
    <n v="12"/>
    <x v="1"/>
  </r>
  <r>
    <s v="TX502174"/>
    <x v="19"/>
    <x v="1"/>
    <n v="13.8"/>
    <n v="27.6"/>
    <x v="79"/>
    <d v="2025-03-22T00:00:00"/>
    <s v="F"/>
    <x v="4"/>
    <x v="2"/>
    <x v="0"/>
    <x v="2"/>
    <x v="3"/>
    <n v="12"/>
    <x v="2"/>
  </r>
  <r>
    <s v="TX502175"/>
    <x v="8"/>
    <x v="2"/>
    <n v="33.299999999999997"/>
    <n v="99.899999999999991"/>
    <x v="79"/>
    <d v="2025-03-24T00:00:00"/>
    <s v="F"/>
    <x v="2"/>
    <x v="0"/>
    <x v="0"/>
    <x v="22"/>
    <x v="2"/>
    <n v="12"/>
    <x v="2"/>
  </r>
  <r>
    <s v="TX502176"/>
    <x v="10"/>
    <x v="0"/>
    <n v="27.4"/>
    <n v="27.4"/>
    <x v="79"/>
    <d v="2025-03-24T00:00:00"/>
    <s v="M"/>
    <x v="0"/>
    <x v="2"/>
    <x v="0"/>
    <x v="22"/>
    <x v="2"/>
    <n v="12"/>
    <x v="1"/>
  </r>
  <r>
    <s v="TX502177"/>
    <x v="14"/>
    <x v="1"/>
    <n v="25.6"/>
    <n v="51.2"/>
    <x v="79"/>
    <d v="2025-03-22T00:00:00"/>
    <s v="F"/>
    <x v="1"/>
    <x v="1"/>
    <x v="0"/>
    <x v="3"/>
    <x v="3"/>
    <n v="12"/>
    <x v="2"/>
  </r>
  <r>
    <s v="TX502178"/>
    <x v="13"/>
    <x v="0"/>
    <n v="58.4"/>
    <n v="58.4"/>
    <x v="79"/>
    <d v="2025-03-22T00:00:00"/>
    <s v="F"/>
    <x v="2"/>
    <x v="2"/>
    <x v="0"/>
    <x v="3"/>
    <x v="3"/>
    <n v="12"/>
    <x v="2"/>
  </r>
  <r>
    <s v="TX502179"/>
    <x v="11"/>
    <x v="17"/>
    <n v="27"/>
    <n v="810"/>
    <x v="79"/>
    <d v="2025-03-22T00:00:00"/>
    <s v="F"/>
    <x v="4"/>
    <x v="0"/>
    <x v="0"/>
    <x v="3"/>
    <x v="3"/>
    <n v="12"/>
    <x v="2"/>
  </r>
  <r>
    <s v="TX502180"/>
    <x v="0"/>
    <x v="12"/>
    <n v="14.2"/>
    <n v="56.8"/>
    <x v="79"/>
    <d v="2025-03-22T00:00:00"/>
    <s v="M"/>
    <x v="0"/>
    <x v="2"/>
    <x v="0"/>
    <x v="3"/>
    <x v="3"/>
    <n v="12"/>
    <x v="1"/>
  </r>
  <r>
    <s v="TX502181"/>
    <x v="7"/>
    <x v="1"/>
    <n v="68"/>
    <n v="136"/>
    <x v="79"/>
    <d v="2025-03-31T00:00:00"/>
    <s v="M"/>
    <x v="2"/>
    <x v="1"/>
    <x v="0"/>
    <x v="3"/>
    <x v="14"/>
    <n v="12"/>
    <x v="1"/>
  </r>
  <r>
    <s v="TX502182"/>
    <x v="8"/>
    <x v="0"/>
    <n v="30.7"/>
    <n v="30.7"/>
    <x v="79"/>
    <d v="2025-03-22T00:00:00"/>
    <s v="M"/>
    <x v="0"/>
    <x v="0"/>
    <x v="0"/>
    <x v="3"/>
    <x v="3"/>
    <n v="12"/>
    <x v="1"/>
  </r>
  <r>
    <s v="TX502183"/>
    <x v="17"/>
    <x v="15"/>
    <n v="51.6"/>
    <n v="670.80000000000007"/>
    <x v="79"/>
    <d v="2025-03-24T00:00:00"/>
    <s v="O"/>
    <x v="1"/>
    <x v="2"/>
    <x v="0"/>
    <x v="3"/>
    <x v="2"/>
    <n v="12"/>
    <x v="3"/>
  </r>
  <r>
    <s v="TX502184"/>
    <x v="8"/>
    <x v="2"/>
    <n v="20.6"/>
    <n v="61.800000000000004"/>
    <x v="79"/>
    <d v="2025-03-25T00:00:00"/>
    <s v="F"/>
    <x v="4"/>
    <x v="2"/>
    <x v="0"/>
    <x v="3"/>
    <x v="5"/>
    <n v="12"/>
    <x v="2"/>
  </r>
  <r>
    <s v="TX502185"/>
    <x v="8"/>
    <x v="0"/>
    <n v="24.8"/>
    <n v="24.8"/>
    <x v="79"/>
    <d v="2025-03-22T00:00:00"/>
    <s v="M"/>
    <x v="4"/>
    <x v="0"/>
    <x v="0"/>
    <x v="3"/>
    <x v="3"/>
    <n v="12"/>
    <x v="1"/>
  </r>
  <r>
    <s v="TX502186"/>
    <x v="0"/>
    <x v="3"/>
    <n v="11.2"/>
    <n v="78.399999999999991"/>
    <x v="79"/>
    <d v="2025-03-24T00:00:00"/>
    <s v="M"/>
    <x v="1"/>
    <x v="0"/>
    <x v="0"/>
    <x v="3"/>
    <x v="2"/>
    <n v="12"/>
    <x v="1"/>
  </r>
  <r>
    <s v="TX502187"/>
    <x v="11"/>
    <x v="1"/>
    <n v="51.2"/>
    <n v="102.4"/>
    <x v="79"/>
    <d v="2025-03-22T00:00:00"/>
    <s v="F"/>
    <x v="1"/>
    <x v="2"/>
    <x v="0"/>
    <x v="3"/>
    <x v="3"/>
    <n v="12"/>
    <x v="2"/>
  </r>
  <r>
    <s v="TX502188"/>
    <x v="7"/>
    <x v="13"/>
    <n v="90.5"/>
    <n v="543"/>
    <x v="79"/>
    <d v="2025-03-22T00:00:00"/>
    <s v="F"/>
    <x v="1"/>
    <x v="4"/>
    <x v="0"/>
    <x v="3"/>
    <x v="3"/>
    <n v="12"/>
    <x v="2"/>
  </r>
  <r>
    <s v="TX502189"/>
    <x v="1"/>
    <x v="1"/>
    <n v="42.4"/>
    <n v="84.8"/>
    <x v="79"/>
    <d v="2025-03-22T00:00:00"/>
    <s v="M"/>
    <x v="1"/>
    <x v="2"/>
    <x v="0"/>
    <x v="4"/>
    <x v="3"/>
    <n v="12"/>
    <x v="1"/>
  </r>
  <r>
    <s v="TX502190"/>
    <x v="1"/>
    <x v="1"/>
    <n v="38.200000000000003"/>
    <n v="76.400000000000006"/>
    <x v="79"/>
    <d v="2025-03-22T00:00:00"/>
    <s v="M"/>
    <x v="0"/>
    <x v="0"/>
    <x v="0"/>
    <x v="5"/>
    <x v="3"/>
    <n v="12"/>
    <x v="1"/>
  </r>
  <r>
    <s v="TX502191"/>
    <x v="2"/>
    <x v="11"/>
    <n v="121.3"/>
    <n v="1091.7"/>
    <x v="79"/>
    <d v="2025-03-26T00:00:00"/>
    <s v="M"/>
    <x v="0"/>
    <x v="0"/>
    <x v="0"/>
    <x v="6"/>
    <x v="0"/>
    <n v="12"/>
    <x v="1"/>
  </r>
  <r>
    <s v="TX502192"/>
    <x v="6"/>
    <x v="1"/>
    <n v="46.9"/>
    <n v="93.8"/>
    <x v="79"/>
    <d v="2025-03-28T00:00:00"/>
    <s v="M"/>
    <x v="0"/>
    <x v="0"/>
    <x v="0"/>
    <x v="8"/>
    <x v="6"/>
    <n v="12"/>
    <x v="1"/>
  </r>
  <r>
    <s v="TX502193"/>
    <x v="10"/>
    <x v="0"/>
    <n v="55.3"/>
    <n v="55.3"/>
    <x v="79"/>
    <d v="2025-03-23T00:00:00"/>
    <s v="M"/>
    <x v="0"/>
    <x v="0"/>
    <x v="0"/>
    <x v="8"/>
    <x v="1"/>
    <n v="12"/>
    <x v="1"/>
  </r>
  <r>
    <s v="TX502194"/>
    <x v="2"/>
    <x v="2"/>
    <n v="70.599999999999994"/>
    <n v="211.79999999999998"/>
    <x v="80"/>
    <d v="2025-03-22T00:00:00"/>
    <s v="F"/>
    <x v="0"/>
    <x v="1"/>
    <x v="0"/>
    <x v="8"/>
    <x v="7"/>
    <n v="12"/>
    <x v="2"/>
  </r>
  <r>
    <s v="TX502195"/>
    <x v="14"/>
    <x v="12"/>
    <n v="26.1"/>
    <n v="104.4"/>
    <x v="80"/>
    <d v="2025-03-24T00:00:00"/>
    <s v="M"/>
    <x v="0"/>
    <x v="0"/>
    <x v="0"/>
    <x v="8"/>
    <x v="1"/>
    <n v="12"/>
    <x v="1"/>
  </r>
  <r>
    <s v="TX502196"/>
    <x v="9"/>
    <x v="5"/>
    <n v="34.5"/>
    <n v="379.5"/>
    <x v="80"/>
    <d v="2025-03-26T00:00:00"/>
    <s v="M"/>
    <x v="2"/>
    <x v="0"/>
    <x v="0"/>
    <x v="17"/>
    <x v="5"/>
    <n v="12"/>
    <x v="1"/>
  </r>
  <r>
    <s v="TX502197"/>
    <x v="1"/>
    <x v="1"/>
    <n v="64.2"/>
    <n v="128.4"/>
    <x v="80"/>
    <d v="2025-03-23T00:00:00"/>
    <s v="F"/>
    <x v="0"/>
    <x v="1"/>
    <x v="0"/>
    <x v="17"/>
    <x v="3"/>
    <n v="12"/>
    <x v="2"/>
  </r>
  <r>
    <s v="TX502198"/>
    <x v="2"/>
    <x v="12"/>
    <n v="145.69999999999999"/>
    <n v="582.79999999999995"/>
    <x v="80"/>
    <d v="2025-03-23T00:00:00"/>
    <s v="F"/>
    <x v="0"/>
    <x v="4"/>
    <x v="0"/>
    <x v="17"/>
    <x v="3"/>
    <n v="12"/>
    <x v="2"/>
  </r>
  <r>
    <s v="TX502199"/>
    <x v="12"/>
    <x v="1"/>
    <n v="78.5"/>
    <n v="157"/>
    <x v="80"/>
    <d v="2025-03-23T00:00:00"/>
    <s v="M"/>
    <x v="2"/>
    <x v="0"/>
    <x v="0"/>
    <x v="26"/>
    <x v="3"/>
    <n v="12"/>
    <x v="1"/>
  </r>
  <r>
    <s v="TX502200"/>
    <x v="1"/>
    <x v="0"/>
    <n v="34.200000000000003"/>
    <n v="34.200000000000003"/>
    <x v="80"/>
    <d v="2025-03-24T00:00:00"/>
    <s v="M"/>
    <x v="0"/>
    <x v="0"/>
    <x v="0"/>
    <x v="9"/>
    <x v="1"/>
    <n v="12"/>
    <x v="1"/>
  </r>
  <r>
    <s v="TX502201"/>
    <x v="19"/>
    <x v="0"/>
    <n v="26.2"/>
    <n v="26.2"/>
    <x v="80"/>
    <d v="2025-03-23T00:00:00"/>
    <s v="M"/>
    <x v="2"/>
    <x v="0"/>
    <x v="0"/>
    <x v="9"/>
    <x v="3"/>
    <n v="12"/>
    <x v="1"/>
  </r>
  <r>
    <s v="TX502202"/>
    <x v="6"/>
    <x v="12"/>
    <n v="53.2"/>
    <n v="212.8"/>
    <x v="80"/>
    <d v="2025-03-23T00:00:00"/>
    <s v="M"/>
    <x v="1"/>
    <x v="1"/>
    <x v="0"/>
    <x v="11"/>
    <x v="3"/>
    <n v="12"/>
    <x v="1"/>
  </r>
  <r>
    <s v="TX502203"/>
    <x v="1"/>
    <x v="0"/>
    <n v="35.4"/>
    <n v="35.4"/>
    <x v="80"/>
    <d v="2025-03-26T00:00:00"/>
    <s v="M"/>
    <x v="1"/>
    <x v="4"/>
    <x v="0"/>
    <x v="18"/>
    <x v="5"/>
    <n v="12"/>
    <x v="1"/>
  </r>
  <r>
    <s v="TX502204"/>
    <x v="14"/>
    <x v="1"/>
    <n v="21.3"/>
    <n v="42.6"/>
    <x v="80"/>
    <d v="2025-03-23T00:00:00"/>
    <s v="M"/>
    <x v="2"/>
    <x v="0"/>
    <x v="0"/>
    <x v="20"/>
    <x v="3"/>
    <n v="12"/>
    <x v="1"/>
  </r>
  <r>
    <s v="TX502205"/>
    <x v="8"/>
    <x v="12"/>
    <n v="32.9"/>
    <n v="131.6"/>
    <x v="80"/>
    <d v="2025-03-25T00:00:00"/>
    <s v="F"/>
    <x v="4"/>
    <x v="2"/>
    <x v="0"/>
    <x v="21"/>
    <x v="2"/>
    <n v="12"/>
    <x v="2"/>
  </r>
  <r>
    <s v="TX502206"/>
    <x v="5"/>
    <x v="20"/>
    <n v="85.5"/>
    <n v="1282.5"/>
    <x v="80"/>
    <d v="2025-03-24T00:00:00"/>
    <s v="F"/>
    <x v="3"/>
    <x v="1"/>
    <x v="0"/>
    <x v="21"/>
    <x v="1"/>
    <n v="12"/>
    <x v="2"/>
  </r>
  <r>
    <s v="TX502207"/>
    <x v="4"/>
    <x v="0"/>
    <n v="26.8"/>
    <n v="26.8"/>
    <x v="80"/>
    <d v="2025-03-23T00:00:00"/>
    <s v="F"/>
    <x v="0"/>
    <x v="1"/>
    <x v="0"/>
    <x v="2"/>
    <x v="3"/>
    <n v="12"/>
    <x v="2"/>
  </r>
  <r>
    <s v="TX502208"/>
    <x v="9"/>
    <x v="18"/>
    <n v="31.7"/>
    <n v="824.19999999999993"/>
    <x v="80"/>
    <d v="2025-03-22T00:00:00"/>
    <s v="F"/>
    <x v="3"/>
    <x v="0"/>
    <x v="0"/>
    <x v="2"/>
    <x v="7"/>
    <n v="12"/>
    <x v="2"/>
  </r>
  <r>
    <s v="TX502209"/>
    <x v="1"/>
    <x v="1"/>
    <n v="78.3"/>
    <n v="156.6"/>
    <x v="80"/>
    <d v="2025-03-24T00:00:00"/>
    <s v="F"/>
    <x v="1"/>
    <x v="1"/>
    <x v="0"/>
    <x v="3"/>
    <x v="1"/>
    <n v="12"/>
    <x v="2"/>
  </r>
  <r>
    <s v="TX502210"/>
    <x v="6"/>
    <x v="0"/>
    <n v="43.9"/>
    <n v="43.9"/>
    <x v="80"/>
    <d v="2025-03-23T00:00:00"/>
    <s v="M"/>
    <x v="0"/>
    <x v="0"/>
    <x v="0"/>
    <x v="3"/>
    <x v="3"/>
    <n v="12"/>
    <x v="1"/>
  </r>
  <r>
    <s v="TX502211"/>
    <x v="18"/>
    <x v="2"/>
    <n v="84"/>
    <n v="252"/>
    <x v="80"/>
    <d v="2025-03-24T00:00:00"/>
    <s v=""/>
    <x v="3"/>
    <x v="2"/>
    <x v="0"/>
    <x v="3"/>
    <x v="1"/>
    <n v="12"/>
    <x v="0"/>
  </r>
  <r>
    <s v="TX502212"/>
    <x v="0"/>
    <x v="2"/>
    <n v="11.4"/>
    <n v="34.200000000000003"/>
    <x v="80"/>
    <d v="2025-03-23T00:00:00"/>
    <s v="M"/>
    <x v="4"/>
    <x v="0"/>
    <x v="0"/>
    <x v="3"/>
    <x v="3"/>
    <n v="12"/>
    <x v="1"/>
  </r>
  <r>
    <s v="TX502213"/>
    <x v="12"/>
    <x v="8"/>
    <n v="47.5"/>
    <n v="380"/>
    <x v="80"/>
    <d v="2025-03-30T00:00:00"/>
    <s v="F"/>
    <x v="0"/>
    <x v="0"/>
    <x v="0"/>
    <x v="3"/>
    <x v="9"/>
    <n v="12"/>
    <x v="2"/>
  </r>
  <r>
    <s v="TX502214"/>
    <x v="9"/>
    <x v="5"/>
    <n v="50.5"/>
    <n v="555.5"/>
    <x v="80"/>
    <d v="2025-03-24T00:00:00"/>
    <s v="M"/>
    <x v="2"/>
    <x v="0"/>
    <x v="0"/>
    <x v="3"/>
    <x v="1"/>
    <n v="12"/>
    <x v="1"/>
  </r>
  <r>
    <s v="TX502215"/>
    <x v="15"/>
    <x v="0"/>
    <n v="36.299999999999997"/>
    <n v="36.299999999999997"/>
    <x v="80"/>
    <d v="2025-03-25T00:00:00"/>
    <s v="O"/>
    <x v="0"/>
    <x v="1"/>
    <x v="0"/>
    <x v="8"/>
    <x v="2"/>
    <n v="12"/>
    <x v="3"/>
  </r>
  <r>
    <s v="TX502216"/>
    <x v="8"/>
    <x v="1"/>
    <n v="35.4"/>
    <n v="70.8"/>
    <x v="80"/>
    <d v="2025-03-23T00:00:00"/>
    <s v="F"/>
    <x v="0"/>
    <x v="0"/>
    <x v="0"/>
    <x v="17"/>
    <x v="3"/>
    <n v="12"/>
    <x v="2"/>
  </r>
  <r>
    <s v="TX502217"/>
    <x v="1"/>
    <x v="2"/>
    <n v="45.9"/>
    <n v="137.69999999999999"/>
    <x v="81"/>
    <d v="2025-03-24T00:00:00"/>
    <s v="M"/>
    <x v="3"/>
    <x v="0"/>
    <x v="0"/>
    <x v="9"/>
    <x v="3"/>
    <n v="13"/>
    <x v="1"/>
  </r>
  <r>
    <s v="TX502218"/>
    <x v="6"/>
    <x v="7"/>
    <n v="41.2"/>
    <n v="412"/>
    <x v="81"/>
    <d v="2025-03-27T00:00:00"/>
    <s v="M"/>
    <x v="0"/>
    <x v="0"/>
    <x v="0"/>
    <x v="11"/>
    <x v="5"/>
    <n v="13"/>
    <x v="1"/>
  </r>
  <r>
    <s v="TX502219"/>
    <x v="17"/>
    <x v="1"/>
    <n v="45.1"/>
    <n v="90.2"/>
    <x v="81"/>
    <d v="2025-03-24T00:00:00"/>
    <s v="M"/>
    <x v="1"/>
    <x v="1"/>
    <x v="0"/>
    <x v="21"/>
    <x v="3"/>
    <n v="13"/>
    <x v="1"/>
  </r>
  <r>
    <s v="TX502220"/>
    <x v="6"/>
    <x v="7"/>
    <n v="63.6"/>
    <n v="636"/>
    <x v="81"/>
    <d v="2025-03-23T00:00:00"/>
    <s v="M"/>
    <x v="2"/>
    <x v="0"/>
    <x v="0"/>
    <x v="1"/>
    <x v="7"/>
    <n v="13"/>
    <x v="1"/>
  </r>
  <r>
    <s v="TX502221"/>
    <x v="8"/>
    <x v="0"/>
    <n v="70.5"/>
    <n v="70.5"/>
    <x v="81"/>
    <d v="2025-03-24T00:00:00"/>
    <s v="M"/>
    <x v="0"/>
    <x v="0"/>
    <x v="0"/>
    <x v="3"/>
    <x v="3"/>
    <n v="13"/>
    <x v="1"/>
  </r>
  <r>
    <s v="TX502222"/>
    <x v="6"/>
    <x v="0"/>
    <n v="41.3"/>
    <n v="41.3"/>
    <x v="81"/>
    <d v="2025-03-23T00:00:00"/>
    <s v="M"/>
    <x v="4"/>
    <x v="0"/>
    <x v="0"/>
    <x v="3"/>
    <x v="7"/>
    <n v="13"/>
    <x v="1"/>
  </r>
  <r>
    <s v="TX502223"/>
    <x v="4"/>
    <x v="0"/>
    <n v="35.299999999999997"/>
    <n v="35.299999999999997"/>
    <x v="81"/>
    <d v="2025-03-26T00:00:00"/>
    <s v="F"/>
    <x v="4"/>
    <x v="2"/>
    <x v="0"/>
    <x v="3"/>
    <x v="2"/>
    <n v="13"/>
    <x v="2"/>
  </r>
  <r>
    <s v="TX502224"/>
    <x v="8"/>
    <x v="9"/>
    <n v="34.700000000000003"/>
    <n v="173.5"/>
    <x v="81"/>
    <d v="2025-03-24T00:00:00"/>
    <s v="F"/>
    <x v="0"/>
    <x v="2"/>
    <x v="0"/>
    <x v="3"/>
    <x v="3"/>
    <n v="13"/>
    <x v="2"/>
  </r>
  <r>
    <s v="TX502225"/>
    <x v="8"/>
    <x v="2"/>
    <n v="26.1"/>
    <n v="78.300000000000011"/>
    <x v="81"/>
    <d v="2025-03-24T00:00:00"/>
    <s v="F"/>
    <x v="0"/>
    <x v="0"/>
    <x v="0"/>
    <x v="3"/>
    <x v="3"/>
    <n v="13"/>
    <x v="2"/>
  </r>
  <r>
    <s v="TX502226"/>
    <x v="9"/>
    <x v="9"/>
    <n v="22.6"/>
    <n v="113"/>
    <x v="81"/>
    <d v="2025-03-23T00:00:00"/>
    <s v="F"/>
    <x v="1"/>
    <x v="2"/>
    <x v="0"/>
    <x v="3"/>
    <x v="7"/>
    <n v="13"/>
    <x v="2"/>
  </r>
  <r>
    <s v="TX502227"/>
    <x v="2"/>
    <x v="1"/>
    <n v="154.4"/>
    <n v="308.8"/>
    <x v="81"/>
    <d v="2025-03-26T00:00:00"/>
    <s v="M"/>
    <x v="1"/>
    <x v="1"/>
    <x v="0"/>
    <x v="3"/>
    <x v="2"/>
    <n v="13"/>
    <x v="1"/>
  </r>
  <r>
    <s v="TX502228"/>
    <x v="8"/>
    <x v="1"/>
    <n v="18.399999999999999"/>
    <n v="36.799999999999997"/>
    <x v="81"/>
    <d v="2025-03-24T00:00:00"/>
    <s v="M"/>
    <x v="0"/>
    <x v="0"/>
    <x v="0"/>
    <x v="3"/>
    <x v="3"/>
    <n v="13"/>
    <x v="1"/>
  </r>
  <r>
    <s v="TX502229"/>
    <x v="14"/>
    <x v="0"/>
    <n v="25"/>
    <n v="25"/>
    <x v="81"/>
    <d v="2025-03-26T00:00:00"/>
    <s v="F"/>
    <x v="0"/>
    <x v="0"/>
    <x v="0"/>
    <x v="3"/>
    <x v="2"/>
    <n v="13"/>
    <x v="2"/>
  </r>
  <r>
    <s v="TX502230"/>
    <x v="2"/>
    <x v="13"/>
    <n v="105.6"/>
    <n v="633.59999999999991"/>
    <x v="81"/>
    <d v="2025-03-23T00:00:00"/>
    <s v="F"/>
    <x v="0"/>
    <x v="0"/>
    <x v="0"/>
    <x v="3"/>
    <x v="7"/>
    <n v="13"/>
    <x v="2"/>
  </r>
  <r>
    <s v="TX502231"/>
    <x v="18"/>
    <x v="8"/>
    <n v="59.6"/>
    <n v="476.8"/>
    <x v="81"/>
    <d v="2025-03-23T00:00:00"/>
    <s v="F"/>
    <x v="0"/>
    <x v="2"/>
    <x v="0"/>
    <x v="23"/>
    <x v="7"/>
    <n v="13"/>
    <x v="2"/>
  </r>
  <r>
    <s v="TX502232"/>
    <x v="15"/>
    <x v="2"/>
    <n v="75.400000000000006"/>
    <n v="226.20000000000002"/>
    <x v="81"/>
    <d v="2025-03-28T00:00:00"/>
    <s v="M"/>
    <x v="0"/>
    <x v="1"/>
    <x v="0"/>
    <x v="7"/>
    <x v="0"/>
    <n v="13"/>
    <x v="1"/>
  </r>
  <r>
    <s v="TX502233"/>
    <x v="7"/>
    <x v="0"/>
    <n v="104.4"/>
    <n v="104.4"/>
    <x v="81"/>
    <d v="2025-03-24T00:00:00"/>
    <s v="F"/>
    <x v="0"/>
    <x v="0"/>
    <x v="0"/>
    <x v="8"/>
    <x v="3"/>
    <n v="13"/>
    <x v="2"/>
  </r>
  <r>
    <s v="TX502234"/>
    <x v="2"/>
    <x v="7"/>
    <n v="208.2"/>
    <n v="2082"/>
    <x v="81"/>
    <d v="2025-03-24T00:00:00"/>
    <s v="M"/>
    <x v="0"/>
    <x v="2"/>
    <x v="0"/>
    <x v="8"/>
    <x v="3"/>
    <n v="13"/>
    <x v="1"/>
  </r>
  <r>
    <s v="TX502235"/>
    <x v="6"/>
    <x v="1"/>
    <n v="45"/>
    <n v="90"/>
    <x v="81"/>
    <d v="2025-03-26T00:00:00"/>
    <s v="F"/>
    <x v="0"/>
    <x v="0"/>
    <x v="0"/>
    <x v="10"/>
    <x v="2"/>
    <n v="13"/>
    <x v="2"/>
  </r>
  <r>
    <s v="TX502236"/>
    <x v="15"/>
    <x v="1"/>
    <n v="20.3"/>
    <n v="40.6"/>
    <x v="82"/>
    <d v="2025-03-26T00:00:00"/>
    <s v=""/>
    <x v="1"/>
    <x v="0"/>
    <x v="0"/>
    <x v="11"/>
    <x v="1"/>
    <n v="13"/>
    <x v="0"/>
  </r>
  <r>
    <s v="TX502237"/>
    <x v="2"/>
    <x v="2"/>
    <n v="94.4"/>
    <n v="283.20000000000005"/>
    <x v="82"/>
    <d v="2025-03-25T00:00:00"/>
    <s v="F"/>
    <x v="0"/>
    <x v="2"/>
    <x v="0"/>
    <x v="11"/>
    <x v="3"/>
    <n v="13"/>
    <x v="2"/>
  </r>
  <r>
    <s v="TX502238"/>
    <x v="9"/>
    <x v="0"/>
    <n v="49"/>
    <n v="49"/>
    <x v="82"/>
    <d v="2025-03-26T00:00:00"/>
    <s v="F"/>
    <x v="0"/>
    <x v="2"/>
    <x v="0"/>
    <x v="20"/>
    <x v="1"/>
    <n v="13"/>
    <x v="2"/>
  </r>
  <r>
    <s v="TX502239"/>
    <x v="4"/>
    <x v="1"/>
    <n v="27.2"/>
    <n v="54.4"/>
    <x v="82"/>
    <d v="2025-03-26T00:00:00"/>
    <s v="M"/>
    <x v="0"/>
    <x v="2"/>
    <x v="0"/>
    <x v="1"/>
    <x v="1"/>
    <n v="13"/>
    <x v="1"/>
  </r>
  <r>
    <s v="TX502240"/>
    <x v="2"/>
    <x v="13"/>
    <n v="72.599999999999994"/>
    <n v="435.59999999999997"/>
    <x v="82"/>
    <d v="2025-03-25T00:00:00"/>
    <s v="F"/>
    <x v="0"/>
    <x v="2"/>
    <x v="0"/>
    <x v="2"/>
    <x v="3"/>
    <n v="13"/>
    <x v="2"/>
  </r>
  <r>
    <s v="TX502241"/>
    <x v="15"/>
    <x v="12"/>
    <n v="62.4"/>
    <n v="249.6"/>
    <x v="82"/>
    <d v="2025-03-25T00:00:00"/>
    <s v="F"/>
    <x v="0"/>
    <x v="0"/>
    <x v="0"/>
    <x v="3"/>
    <x v="3"/>
    <n v="13"/>
    <x v="2"/>
  </r>
  <r>
    <s v="TX502242"/>
    <x v="8"/>
    <x v="2"/>
    <n v="19.100000000000001"/>
    <n v="57.300000000000004"/>
    <x v="82"/>
    <d v="2025-03-26T00:00:00"/>
    <s v="M"/>
    <x v="0"/>
    <x v="1"/>
    <x v="0"/>
    <x v="3"/>
    <x v="1"/>
    <n v="13"/>
    <x v="1"/>
  </r>
  <r>
    <s v="TX502243"/>
    <x v="10"/>
    <x v="0"/>
    <n v="29.6"/>
    <n v="29.6"/>
    <x v="82"/>
    <d v="2025-03-28T00:00:00"/>
    <s v="M"/>
    <x v="0"/>
    <x v="4"/>
    <x v="0"/>
    <x v="3"/>
    <x v="5"/>
    <n v="13"/>
    <x v="1"/>
  </r>
  <r>
    <s v="TX502244"/>
    <x v="8"/>
    <x v="1"/>
    <n v="18.899999999999999"/>
    <n v="37.799999999999997"/>
    <x v="82"/>
    <d v="2025-03-26T00:00:00"/>
    <s v="F"/>
    <x v="4"/>
    <x v="2"/>
    <x v="0"/>
    <x v="3"/>
    <x v="1"/>
    <n v="13"/>
    <x v="2"/>
  </r>
  <r>
    <s v="TX502245"/>
    <x v="10"/>
    <x v="9"/>
    <n v="41.4"/>
    <n v="207"/>
    <x v="82"/>
    <d v="2025-03-25T00:00:00"/>
    <s v="M"/>
    <x v="3"/>
    <x v="0"/>
    <x v="0"/>
    <x v="3"/>
    <x v="3"/>
    <n v="13"/>
    <x v="1"/>
  </r>
  <r>
    <s v="TX502246"/>
    <x v="2"/>
    <x v="0"/>
    <n v="118.4"/>
    <n v="118.4"/>
    <x v="82"/>
    <d v="2025-03-25T00:00:00"/>
    <s v="F"/>
    <x v="0"/>
    <x v="2"/>
    <x v="0"/>
    <x v="3"/>
    <x v="3"/>
    <n v="13"/>
    <x v="2"/>
  </r>
  <r>
    <s v="TX502247"/>
    <x v="2"/>
    <x v="1"/>
    <n v="125.3"/>
    <n v="250.6"/>
    <x v="82"/>
    <d v="2025-03-27T00:00:00"/>
    <s v="F"/>
    <x v="0"/>
    <x v="2"/>
    <x v="0"/>
    <x v="3"/>
    <x v="2"/>
    <n v="13"/>
    <x v="2"/>
  </r>
  <r>
    <s v="TX502248"/>
    <x v="3"/>
    <x v="1"/>
    <n v="85.8"/>
    <n v="171.6"/>
    <x v="82"/>
    <d v="2025-03-25T00:00:00"/>
    <s v="F"/>
    <x v="1"/>
    <x v="4"/>
    <x v="0"/>
    <x v="3"/>
    <x v="3"/>
    <n v="13"/>
    <x v="2"/>
  </r>
  <r>
    <s v="TX502249"/>
    <x v="6"/>
    <x v="0"/>
    <n v="44.2"/>
    <n v="44.2"/>
    <x v="82"/>
    <d v="2025-03-27T00:00:00"/>
    <s v="M"/>
    <x v="1"/>
    <x v="0"/>
    <x v="0"/>
    <x v="3"/>
    <x v="2"/>
    <n v="13"/>
    <x v="1"/>
  </r>
  <r>
    <s v="TX502250"/>
    <x v="5"/>
    <x v="12"/>
    <n v="74.099999999999994"/>
    <n v="296.39999999999998"/>
    <x v="82"/>
    <d v="2025-03-26T00:00:00"/>
    <s v="F"/>
    <x v="0"/>
    <x v="0"/>
    <x v="0"/>
    <x v="3"/>
    <x v="1"/>
    <n v="13"/>
    <x v="2"/>
  </r>
  <r>
    <s v="TX502251"/>
    <x v="8"/>
    <x v="0"/>
    <n v="33.799999999999997"/>
    <n v="33.799999999999997"/>
    <x v="82"/>
    <d v="2025-03-25T00:00:00"/>
    <s v="F"/>
    <x v="2"/>
    <x v="2"/>
    <x v="0"/>
    <x v="24"/>
    <x v="3"/>
    <n v="13"/>
    <x v="2"/>
  </r>
  <r>
    <s v="TX502252"/>
    <x v="1"/>
    <x v="1"/>
    <n v="39.1"/>
    <n v="78.2"/>
    <x v="82"/>
    <d v="2025-03-25T00:00:00"/>
    <s v="M"/>
    <x v="0"/>
    <x v="1"/>
    <x v="0"/>
    <x v="24"/>
    <x v="3"/>
    <n v="13"/>
    <x v="1"/>
  </r>
  <r>
    <s v="TX502253"/>
    <x v="0"/>
    <x v="0"/>
    <n v="37.200000000000003"/>
    <n v="37.200000000000003"/>
    <x v="82"/>
    <d v="2025-03-25T00:00:00"/>
    <s v="M"/>
    <x v="0"/>
    <x v="1"/>
    <x v="0"/>
    <x v="16"/>
    <x v="3"/>
    <n v="13"/>
    <x v="1"/>
  </r>
  <r>
    <s v="TX502254"/>
    <x v="15"/>
    <x v="2"/>
    <n v="33.9"/>
    <n v="101.69999999999999"/>
    <x v="82"/>
    <d v="2025-03-26T00:00:00"/>
    <s v="M"/>
    <x v="2"/>
    <x v="0"/>
    <x v="0"/>
    <x v="6"/>
    <x v="1"/>
    <n v="13"/>
    <x v="1"/>
  </r>
  <r>
    <s v="TX502255"/>
    <x v="7"/>
    <x v="20"/>
    <n v="73.3"/>
    <n v="1099.5"/>
    <x v="82"/>
    <d v="2025-03-27T00:00:00"/>
    <s v="F"/>
    <x v="2"/>
    <x v="1"/>
    <x v="0"/>
    <x v="8"/>
    <x v="2"/>
    <n v="13"/>
    <x v="2"/>
  </r>
  <r>
    <s v="TX502256"/>
    <x v="8"/>
    <x v="12"/>
    <n v="35"/>
    <n v="140"/>
    <x v="82"/>
    <d v="2025-03-26T00:00:00"/>
    <s v="F"/>
    <x v="1"/>
    <x v="0"/>
    <x v="0"/>
    <x v="8"/>
    <x v="1"/>
    <n v="13"/>
    <x v="2"/>
  </r>
  <r>
    <s v="TX502257"/>
    <x v="0"/>
    <x v="2"/>
    <n v="22.2"/>
    <n v="66.599999999999994"/>
    <x v="82"/>
    <d v="2025-03-25T00:00:00"/>
    <s v="M"/>
    <x v="1"/>
    <x v="0"/>
    <x v="0"/>
    <x v="17"/>
    <x v="3"/>
    <n v="13"/>
    <x v="1"/>
  </r>
  <r>
    <s v="TX502258"/>
    <x v="10"/>
    <x v="0"/>
    <n v="32.4"/>
    <n v="32.4"/>
    <x v="82"/>
    <d v="2025-03-25T00:00:00"/>
    <s v="F"/>
    <x v="0"/>
    <x v="0"/>
    <x v="0"/>
    <x v="11"/>
    <x v="3"/>
    <n v="13"/>
    <x v="2"/>
  </r>
  <r>
    <s v="TX502259"/>
    <x v="5"/>
    <x v="2"/>
    <n v="88.4"/>
    <n v="265.20000000000005"/>
    <x v="83"/>
    <d v="2025-03-27T00:00:00"/>
    <s v="F"/>
    <x v="1"/>
    <x v="1"/>
    <x v="0"/>
    <x v="11"/>
    <x v="1"/>
    <n v="13"/>
    <x v="2"/>
  </r>
  <r>
    <s v="TX502260"/>
    <x v="5"/>
    <x v="27"/>
    <n v="30.5"/>
    <n v="488"/>
    <x v="83"/>
    <d v="2025-03-26T00:00:00"/>
    <s v="F"/>
    <x v="2"/>
    <x v="0"/>
    <x v="0"/>
    <x v="11"/>
    <x v="3"/>
    <n v="13"/>
    <x v="2"/>
  </r>
  <r>
    <s v="TX502261"/>
    <x v="1"/>
    <x v="13"/>
    <n v="38.1"/>
    <n v="228.60000000000002"/>
    <x v="83"/>
    <d v="2025-03-27T00:00:00"/>
    <s v="F"/>
    <x v="0"/>
    <x v="1"/>
    <x v="0"/>
    <x v="11"/>
    <x v="1"/>
    <n v="13"/>
    <x v="2"/>
  </r>
  <r>
    <s v="TX502262"/>
    <x v="10"/>
    <x v="9"/>
    <n v="37.6"/>
    <n v="188"/>
    <x v="83"/>
    <d v="2025-03-29T00:00:00"/>
    <s v="M"/>
    <x v="0"/>
    <x v="0"/>
    <x v="0"/>
    <x v="11"/>
    <x v="5"/>
    <n v="13"/>
    <x v="1"/>
  </r>
  <r>
    <s v="TX502263"/>
    <x v="15"/>
    <x v="1"/>
    <n v="31.4"/>
    <n v="62.8"/>
    <x v="83"/>
    <d v="2025-03-26T00:00:00"/>
    <s v="M"/>
    <x v="0"/>
    <x v="2"/>
    <x v="0"/>
    <x v="11"/>
    <x v="3"/>
    <n v="13"/>
    <x v="1"/>
  </r>
  <r>
    <s v="TX502264"/>
    <x v="6"/>
    <x v="1"/>
    <n v="61.5"/>
    <n v="123"/>
    <x v="83"/>
    <d v="2025-03-26T00:00:00"/>
    <s v="M"/>
    <x v="3"/>
    <x v="0"/>
    <x v="0"/>
    <x v="31"/>
    <x v="3"/>
    <n v="13"/>
    <x v="1"/>
  </r>
  <r>
    <s v="TX502265"/>
    <x v="6"/>
    <x v="0"/>
    <n v="72.599999999999994"/>
    <n v="72.599999999999994"/>
    <x v="83"/>
    <d v="2025-03-26T00:00:00"/>
    <s v="M"/>
    <x v="0"/>
    <x v="1"/>
    <x v="0"/>
    <x v="21"/>
    <x v="3"/>
    <n v="13"/>
    <x v="1"/>
  </r>
  <r>
    <s v="TX502266"/>
    <x v="9"/>
    <x v="2"/>
    <n v="26.9"/>
    <n v="80.699999999999989"/>
    <x v="83"/>
    <d v="2025-03-30T00:00:00"/>
    <s v="O"/>
    <x v="4"/>
    <x v="1"/>
    <x v="0"/>
    <x v="46"/>
    <x v="0"/>
    <n v="13"/>
    <x v="3"/>
  </r>
  <r>
    <s v="TX502267"/>
    <x v="17"/>
    <x v="4"/>
    <n v="29.4"/>
    <n v="352.79999999999995"/>
    <x v="83"/>
    <d v="2025-03-26T00:00:00"/>
    <s v="F"/>
    <x v="1"/>
    <x v="0"/>
    <x v="0"/>
    <x v="51"/>
    <x v="3"/>
    <n v="13"/>
    <x v="2"/>
  </r>
  <r>
    <s v="TX502268"/>
    <x v="17"/>
    <x v="1"/>
    <n v="42.1"/>
    <n v="84.2"/>
    <x v="83"/>
    <d v="2025-03-26T00:00:00"/>
    <s v="F"/>
    <x v="3"/>
    <x v="1"/>
    <x v="0"/>
    <x v="1"/>
    <x v="3"/>
    <n v="13"/>
    <x v="2"/>
  </r>
  <r>
    <s v="TX502269"/>
    <x v="5"/>
    <x v="0"/>
    <n v="40.5"/>
    <n v="40.5"/>
    <x v="83"/>
    <d v="2025-03-26T00:00:00"/>
    <s v="F"/>
    <x v="2"/>
    <x v="1"/>
    <x v="0"/>
    <x v="1"/>
    <x v="3"/>
    <n v="13"/>
    <x v="2"/>
  </r>
  <r>
    <s v="TX502270"/>
    <x v="2"/>
    <x v="12"/>
    <n v="182.3"/>
    <n v="729.2"/>
    <x v="83"/>
    <d v="2025-03-26T00:00:00"/>
    <s v="F"/>
    <x v="1"/>
    <x v="0"/>
    <x v="0"/>
    <x v="1"/>
    <x v="3"/>
    <n v="13"/>
    <x v="2"/>
  </r>
  <r>
    <s v="TX502271"/>
    <x v="2"/>
    <x v="9"/>
    <n v="157"/>
    <n v="785"/>
    <x v="83"/>
    <d v="2025-03-28T00:00:00"/>
    <s v="F"/>
    <x v="1"/>
    <x v="2"/>
    <x v="0"/>
    <x v="2"/>
    <x v="2"/>
    <n v="13"/>
    <x v="2"/>
  </r>
  <r>
    <s v="TX502272"/>
    <x v="17"/>
    <x v="9"/>
    <n v="45.2"/>
    <n v="226"/>
    <x v="83"/>
    <d v="2025-03-28T00:00:00"/>
    <s v="F"/>
    <x v="1"/>
    <x v="0"/>
    <x v="0"/>
    <x v="22"/>
    <x v="2"/>
    <n v="13"/>
    <x v="2"/>
  </r>
  <r>
    <s v="TX502273"/>
    <x v="15"/>
    <x v="12"/>
    <n v="27.4"/>
    <n v="109.6"/>
    <x v="83"/>
    <d v="2025-03-27T00:00:00"/>
    <s v="F"/>
    <x v="0"/>
    <x v="0"/>
    <x v="0"/>
    <x v="3"/>
    <x v="1"/>
    <n v="13"/>
    <x v="2"/>
  </r>
  <r>
    <s v="TX502274"/>
    <x v="5"/>
    <x v="9"/>
    <n v="34.1"/>
    <n v="170.5"/>
    <x v="83"/>
    <d v="2025-03-27T00:00:00"/>
    <s v="M"/>
    <x v="0"/>
    <x v="2"/>
    <x v="0"/>
    <x v="3"/>
    <x v="1"/>
    <n v="13"/>
    <x v="1"/>
  </r>
  <r>
    <s v="TX502275"/>
    <x v="0"/>
    <x v="1"/>
    <n v="26"/>
    <n v="52"/>
    <x v="83"/>
    <d v="2025-03-27T00:00:00"/>
    <s v="M"/>
    <x v="2"/>
    <x v="1"/>
    <x v="0"/>
    <x v="3"/>
    <x v="1"/>
    <n v="13"/>
    <x v="1"/>
  </r>
  <r>
    <s v="TX502276"/>
    <x v="8"/>
    <x v="3"/>
    <n v="19.399999999999999"/>
    <n v="135.79999999999998"/>
    <x v="83"/>
    <d v="2025-03-27T00:00:00"/>
    <s v=""/>
    <x v="1"/>
    <x v="1"/>
    <x v="0"/>
    <x v="3"/>
    <x v="1"/>
    <n v="13"/>
    <x v="0"/>
  </r>
  <r>
    <s v="TX502277"/>
    <x v="16"/>
    <x v="2"/>
    <n v="30.3"/>
    <n v="90.9"/>
    <x v="83"/>
    <d v="2025-03-28T00:00:00"/>
    <s v="F"/>
    <x v="1"/>
    <x v="2"/>
    <x v="0"/>
    <x v="3"/>
    <x v="2"/>
    <n v="13"/>
    <x v="2"/>
  </r>
  <r>
    <s v="TX502278"/>
    <x v="2"/>
    <x v="2"/>
    <n v="101.4"/>
    <n v="304.20000000000005"/>
    <x v="83"/>
    <d v="2025-03-26T00:00:00"/>
    <s v="M"/>
    <x v="0"/>
    <x v="0"/>
    <x v="0"/>
    <x v="3"/>
    <x v="3"/>
    <n v="13"/>
    <x v="1"/>
  </r>
  <r>
    <s v="TX502279"/>
    <x v="3"/>
    <x v="9"/>
    <n v="55.5"/>
    <n v="277.5"/>
    <x v="83"/>
    <d v="2025-03-28T00:00:00"/>
    <s v="M"/>
    <x v="1"/>
    <x v="0"/>
    <x v="0"/>
    <x v="24"/>
    <x v="2"/>
    <n v="13"/>
    <x v="1"/>
  </r>
  <r>
    <s v="TX502280"/>
    <x v="8"/>
    <x v="0"/>
    <n v="23.1"/>
    <n v="23.1"/>
    <x v="83"/>
    <d v="2025-03-26T00:00:00"/>
    <s v="M"/>
    <x v="0"/>
    <x v="0"/>
    <x v="0"/>
    <x v="25"/>
    <x v="3"/>
    <n v="13"/>
    <x v="1"/>
  </r>
  <r>
    <s v="TX502281"/>
    <x v="18"/>
    <x v="1"/>
    <n v="38.9"/>
    <n v="77.8"/>
    <x v="83"/>
    <d v="2025-03-26T00:00:00"/>
    <s v="M"/>
    <x v="2"/>
    <x v="0"/>
    <x v="0"/>
    <x v="25"/>
    <x v="3"/>
    <n v="13"/>
    <x v="1"/>
  </r>
  <r>
    <s v="TX502282"/>
    <x v="6"/>
    <x v="11"/>
    <n v="116.3"/>
    <n v="1046.7"/>
    <x v="83"/>
    <d v="2025-03-29T00:00:00"/>
    <s v="F"/>
    <x v="0"/>
    <x v="0"/>
    <x v="0"/>
    <x v="5"/>
    <x v="5"/>
    <n v="13"/>
    <x v="2"/>
  </r>
  <r>
    <s v="TX502283"/>
    <x v="16"/>
    <x v="11"/>
    <n v="64.099999999999994"/>
    <n v="576.9"/>
    <x v="83"/>
    <d v="2025-03-25T00:00:00"/>
    <s v="F"/>
    <x v="0"/>
    <x v="2"/>
    <x v="0"/>
    <x v="6"/>
    <x v="7"/>
    <n v="13"/>
    <x v="2"/>
  </r>
  <r>
    <s v="TX502284"/>
    <x v="2"/>
    <x v="13"/>
    <n v="109.2"/>
    <n v="655.20000000000005"/>
    <x v="83"/>
    <d v="2025-03-27T00:00:00"/>
    <s v="M"/>
    <x v="0"/>
    <x v="1"/>
    <x v="0"/>
    <x v="8"/>
    <x v="1"/>
    <n v="13"/>
    <x v="1"/>
  </r>
  <r>
    <s v="TX502285"/>
    <x v="10"/>
    <x v="9"/>
    <n v="23.2"/>
    <n v="116"/>
    <x v="84"/>
    <d v="2025-03-27T00:00:00"/>
    <s v="M"/>
    <x v="0"/>
    <x v="1"/>
    <x v="0"/>
    <x v="8"/>
    <x v="3"/>
    <n v="13"/>
    <x v="1"/>
  </r>
  <r>
    <s v="TX502286"/>
    <x v="18"/>
    <x v="13"/>
    <n v="81.2"/>
    <n v="487.20000000000005"/>
    <x v="84"/>
    <d v="2025-03-28T00:00:00"/>
    <s v="M"/>
    <x v="2"/>
    <x v="2"/>
    <x v="0"/>
    <x v="8"/>
    <x v="1"/>
    <n v="13"/>
    <x v="1"/>
  </r>
  <r>
    <s v="TX502287"/>
    <x v="1"/>
    <x v="21"/>
    <n v="35.700000000000003"/>
    <n v="499.80000000000007"/>
    <x v="84"/>
    <d v="2025-03-27T00:00:00"/>
    <s v="M"/>
    <x v="3"/>
    <x v="0"/>
    <x v="0"/>
    <x v="8"/>
    <x v="3"/>
    <n v="13"/>
    <x v="1"/>
  </r>
  <r>
    <s v="TX502288"/>
    <x v="7"/>
    <x v="1"/>
    <n v="44.5"/>
    <n v="89"/>
    <x v="84"/>
    <d v="2025-03-29T00:00:00"/>
    <s v="M"/>
    <x v="4"/>
    <x v="0"/>
    <x v="0"/>
    <x v="9"/>
    <x v="2"/>
    <n v="13"/>
    <x v="1"/>
  </r>
  <r>
    <s v="TX502289"/>
    <x v="1"/>
    <x v="9"/>
    <n v="32"/>
    <n v="160"/>
    <x v="84"/>
    <d v="2025-03-28T00:00:00"/>
    <s v="O"/>
    <x v="1"/>
    <x v="1"/>
    <x v="0"/>
    <x v="9"/>
    <x v="1"/>
    <n v="13"/>
    <x v="3"/>
  </r>
  <r>
    <s v="TX502290"/>
    <x v="8"/>
    <x v="0"/>
    <n v="25.7"/>
    <n v="25.7"/>
    <x v="84"/>
    <d v="2025-03-27T00:00:00"/>
    <s v="M"/>
    <x v="0"/>
    <x v="0"/>
    <x v="0"/>
    <x v="10"/>
    <x v="3"/>
    <n v="13"/>
    <x v="1"/>
  </r>
  <r>
    <s v="TX502291"/>
    <x v="16"/>
    <x v="2"/>
    <n v="65.599999999999994"/>
    <n v="196.79999999999998"/>
    <x v="84"/>
    <d v="2025-04-01T00:00:00"/>
    <s v="M"/>
    <x v="0"/>
    <x v="0"/>
    <x v="0"/>
    <x v="11"/>
    <x v="4"/>
    <n v="13"/>
    <x v="1"/>
  </r>
  <r>
    <s v="TX502292"/>
    <x v="1"/>
    <x v="12"/>
    <n v="52.1"/>
    <n v="208.4"/>
    <x v="84"/>
    <d v="2025-03-27T00:00:00"/>
    <s v="F"/>
    <x v="0"/>
    <x v="2"/>
    <x v="0"/>
    <x v="11"/>
    <x v="3"/>
    <n v="13"/>
    <x v="2"/>
  </r>
  <r>
    <s v="TX502293"/>
    <x v="8"/>
    <x v="0"/>
    <n v="31"/>
    <n v="31"/>
    <x v="84"/>
    <d v="2025-03-27T00:00:00"/>
    <s v="M"/>
    <x v="0"/>
    <x v="1"/>
    <x v="0"/>
    <x v="19"/>
    <x v="3"/>
    <n v="13"/>
    <x v="1"/>
  </r>
  <r>
    <s v="TX502294"/>
    <x v="8"/>
    <x v="0"/>
    <n v="32"/>
    <n v="32"/>
    <x v="84"/>
    <d v="2025-03-28T00:00:00"/>
    <s v="O"/>
    <x v="3"/>
    <x v="1"/>
    <x v="0"/>
    <x v="31"/>
    <x v="1"/>
    <n v="13"/>
    <x v="3"/>
  </r>
  <r>
    <s v="TX502295"/>
    <x v="16"/>
    <x v="12"/>
    <n v="58.3"/>
    <n v="233.2"/>
    <x v="84"/>
    <d v="2025-03-30T00:00:00"/>
    <s v="M"/>
    <x v="1"/>
    <x v="4"/>
    <x v="0"/>
    <x v="20"/>
    <x v="5"/>
    <n v="13"/>
    <x v="1"/>
  </r>
  <r>
    <s v="TX502296"/>
    <x v="8"/>
    <x v="2"/>
    <n v="31"/>
    <n v="93"/>
    <x v="84"/>
    <d v="2025-03-28T00:00:00"/>
    <s v="F"/>
    <x v="2"/>
    <x v="4"/>
    <x v="0"/>
    <x v="13"/>
    <x v="1"/>
    <n v="13"/>
    <x v="2"/>
  </r>
  <r>
    <s v="TX502297"/>
    <x v="3"/>
    <x v="0"/>
    <n v="40.299999999999997"/>
    <n v="40.299999999999997"/>
    <x v="84"/>
    <d v="2025-03-27T00:00:00"/>
    <s v="M"/>
    <x v="1"/>
    <x v="2"/>
    <x v="0"/>
    <x v="54"/>
    <x v="3"/>
    <n v="13"/>
    <x v="1"/>
  </r>
  <r>
    <s v="TX502298"/>
    <x v="6"/>
    <x v="2"/>
    <n v="47.3"/>
    <n v="141.89999999999998"/>
    <x v="84"/>
    <d v="2025-03-28T00:00:00"/>
    <s v="M"/>
    <x v="4"/>
    <x v="2"/>
    <x v="0"/>
    <x v="2"/>
    <x v="1"/>
    <n v="13"/>
    <x v="1"/>
  </r>
  <r>
    <s v="TX502299"/>
    <x v="2"/>
    <x v="0"/>
    <n v="82.8"/>
    <n v="82.8"/>
    <x v="84"/>
    <d v="2025-03-27T00:00:00"/>
    <s v="M"/>
    <x v="0"/>
    <x v="0"/>
    <x v="0"/>
    <x v="2"/>
    <x v="3"/>
    <n v="13"/>
    <x v="1"/>
  </r>
  <r>
    <s v="TX502300"/>
    <x v="8"/>
    <x v="0"/>
    <n v="18.5"/>
    <n v="18.5"/>
    <x v="84"/>
    <d v="2025-04-09T00:00:00"/>
    <s v="F"/>
    <x v="0"/>
    <x v="0"/>
    <x v="0"/>
    <x v="44"/>
    <x v="12"/>
    <n v="13"/>
    <x v="2"/>
  </r>
  <r>
    <s v="TX502301"/>
    <x v="3"/>
    <x v="1"/>
    <n v="60.4"/>
    <n v="120.8"/>
    <x v="84"/>
    <d v="2025-03-27T00:00:00"/>
    <s v="M"/>
    <x v="2"/>
    <x v="0"/>
    <x v="0"/>
    <x v="22"/>
    <x v="3"/>
    <n v="13"/>
    <x v="1"/>
  </r>
  <r>
    <s v="TX502302"/>
    <x v="6"/>
    <x v="9"/>
    <n v="80.2"/>
    <n v="401"/>
    <x v="84"/>
    <d v="2025-04-02T00:00:00"/>
    <s v="M"/>
    <x v="1"/>
    <x v="1"/>
    <x v="0"/>
    <x v="50"/>
    <x v="6"/>
    <n v="13"/>
    <x v="1"/>
  </r>
  <r>
    <s v="TX502303"/>
    <x v="4"/>
    <x v="0"/>
    <n v="41.5"/>
    <n v="41.5"/>
    <x v="84"/>
    <d v="2025-03-28T00:00:00"/>
    <s v="M"/>
    <x v="2"/>
    <x v="0"/>
    <x v="0"/>
    <x v="3"/>
    <x v="1"/>
    <n v="13"/>
    <x v="1"/>
  </r>
  <r>
    <s v="TX502304"/>
    <x v="2"/>
    <x v="1"/>
    <n v="83.9"/>
    <n v="167.8"/>
    <x v="84"/>
    <d v="2025-03-29T00:00:00"/>
    <s v="F"/>
    <x v="0"/>
    <x v="0"/>
    <x v="0"/>
    <x v="3"/>
    <x v="2"/>
    <n v="13"/>
    <x v="2"/>
  </r>
  <r>
    <s v="TX502305"/>
    <x v="8"/>
    <x v="1"/>
    <n v="16.7"/>
    <n v="33.4"/>
    <x v="84"/>
    <d v="2025-03-30T00:00:00"/>
    <s v="F"/>
    <x v="0"/>
    <x v="1"/>
    <x v="0"/>
    <x v="3"/>
    <x v="5"/>
    <n v="13"/>
    <x v="2"/>
  </r>
  <r>
    <s v="TX502306"/>
    <x v="9"/>
    <x v="1"/>
    <n v="72.900000000000006"/>
    <n v="145.80000000000001"/>
    <x v="84"/>
    <d v="2025-03-27T00:00:00"/>
    <s v="M"/>
    <x v="2"/>
    <x v="1"/>
    <x v="0"/>
    <x v="3"/>
    <x v="3"/>
    <n v="13"/>
    <x v="1"/>
  </r>
  <r>
    <s v="TX502307"/>
    <x v="5"/>
    <x v="1"/>
    <n v="50.2"/>
    <n v="100.4"/>
    <x v="84"/>
    <d v="2025-03-28T00:00:00"/>
    <s v="F"/>
    <x v="1"/>
    <x v="2"/>
    <x v="0"/>
    <x v="3"/>
    <x v="1"/>
    <n v="13"/>
    <x v="2"/>
  </r>
  <r>
    <s v="TX502308"/>
    <x v="3"/>
    <x v="1"/>
    <n v="34.200000000000003"/>
    <n v="68.400000000000006"/>
    <x v="84"/>
    <d v="2025-04-05T00:00:00"/>
    <s v=""/>
    <x v="1"/>
    <x v="0"/>
    <x v="0"/>
    <x v="3"/>
    <x v="14"/>
    <n v="13"/>
    <x v="0"/>
  </r>
  <r>
    <s v="TX502309"/>
    <x v="5"/>
    <x v="1"/>
    <n v="107.9"/>
    <n v="215.8"/>
    <x v="84"/>
    <d v="2025-03-26T00:00:00"/>
    <s v="M"/>
    <x v="1"/>
    <x v="4"/>
    <x v="0"/>
    <x v="3"/>
    <x v="7"/>
    <n v="13"/>
    <x v="1"/>
  </r>
  <r>
    <s v="TX502310"/>
    <x v="0"/>
    <x v="2"/>
    <n v="17.5"/>
    <n v="52.5"/>
    <x v="84"/>
    <d v="2025-03-28T00:00:00"/>
    <s v="M"/>
    <x v="4"/>
    <x v="0"/>
    <x v="0"/>
    <x v="3"/>
    <x v="1"/>
    <n v="13"/>
    <x v="1"/>
  </r>
  <r>
    <s v="TX502311"/>
    <x v="13"/>
    <x v="20"/>
    <n v="44.7"/>
    <n v="670.5"/>
    <x v="84"/>
    <d v="2025-03-27T00:00:00"/>
    <s v="M"/>
    <x v="0"/>
    <x v="1"/>
    <x v="0"/>
    <x v="3"/>
    <x v="3"/>
    <n v="13"/>
    <x v="1"/>
  </r>
  <r>
    <s v="TX502312"/>
    <x v="12"/>
    <x v="13"/>
    <n v="92.7"/>
    <n v="556.20000000000005"/>
    <x v="84"/>
    <d v="2025-03-28T00:00:00"/>
    <s v="F"/>
    <x v="2"/>
    <x v="1"/>
    <x v="0"/>
    <x v="3"/>
    <x v="1"/>
    <n v="13"/>
    <x v="2"/>
  </r>
  <r>
    <s v="TX502313"/>
    <x v="7"/>
    <x v="2"/>
    <n v="48.8"/>
    <n v="146.39999999999998"/>
    <x v="84"/>
    <d v="2025-03-28T00:00:00"/>
    <s v="F"/>
    <x v="2"/>
    <x v="0"/>
    <x v="0"/>
    <x v="3"/>
    <x v="1"/>
    <n v="13"/>
    <x v="2"/>
  </r>
  <r>
    <s v="TX502314"/>
    <x v="4"/>
    <x v="27"/>
    <n v="21.3"/>
    <n v="340.8"/>
    <x v="84"/>
    <d v="2025-03-30T00:00:00"/>
    <s v="F"/>
    <x v="3"/>
    <x v="3"/>
    <x v="0"/>
    <x v="3"/>
    <x v="5"/>
    <n v="13"/>
    <x v="2"/>
  </r>
  <r>
    <s v="TX502315"/>
    <x v="16"/>
    <x v="0"/>
    <n v="52.5"/>
    <n v="52.5"/>
    <x v="84"/>
    <d v="2025-03-27T00:00:00"/>
    <s v="F"/>
    <x v="0"/>
    <x v="0"/>
    <x v="0"/>
    <x v="3"/>
    <x v="3"/>
    <n v="13"/>
    <x v="2"/>
  </r>
  <r>
    <s v="TX502316"/>
    <x v="1"/>
    <x v="1"/>
    <n v="92.4"/>
    <n v="184.8"/>
    <x v="84"/>
    <d v="2025-04-01T00:00:00"/>
    <s v="F"/>
    <x v="0"/>
    <x v="2"/>
    <x v="0"/>
    <x v="3"/>
    <x v="4"/>
    <n v="13"/>
    <x v="2"/>
  </r>
  <r>
    <s v="TX502317"/>
    <x v="4"/>
    <x v="5"/>
    <n v="58.3"/>
    <n v="641.29999999999995"/>
    <x v="84"/>
    <d v="2025-03-28T00:00:00"/>
    <s v="M"/>
    <x v="1"/>
    <x v="2"/>
    <x v="0"/>
    <x v="3"/>
    <x v="1"/>
    <n v="13"/>
    <x v="1"/>
  </r>
  <r>
    <s v="TX502318"/>
    <x v="6"/>
    <x v="44"/>
    <n v="152.6"/>
    <n v="3509.7999999999997"/>
    <x v="85"/>
    <d v="2025-03-29T00:00:00"/>
    <s v=""/>
    <x v="0"/>
    <x v="0"/>
    <x v="0"/>
    <x v="3"/>
    <x v="1"/>
    <n v="13"/>
    <x v="0"/>
  </r>
  <r>
    <s v="TX502319"/>
    <x v="8"/>
    <x v="1"/>
    <n v="26"/>
    <n v="52"/>
    <x v="85"/>
    <d v="2025-03-27T00:00:00"/>
    <s v=""/>
    <x v="0"/>
    <x v="1"/>
    <x v="0"/>
    <x v="3"/>
    <x v="7"/>
    <n v="13"/>
    <x v="0"/>
  </r>
  <r>
    <s v="TX502320"/>
    <x v="1"/>
    <x v="12"/>
    <n v="33.1"/>
    <n v="132.4"/>
    <x v="85"/>
    <d v="2025-03-27T00:00:00"/>
    <s v="M"/>
    <x v="2"/>
    <x v="4"/>
    <x v="0"/>
    <x v="5"/>
    <x v="7"/>
    <n v="13"/>
    <x v="1"/>
  </r>
  <r>
    <s v="TX502321"/>
    <x v="18"/>
    <x v="0"/>
    <n v="51.4"/>
    <n v="51.4"/>
    <x v="85"/>
    <d v="2025-03-29T00:00:00"/>
    <s v="F"/>
    <x v="1"/>
    <x v="1"/>
    <x v="0"/>
    <x v="5"/>
    <x v="1"/>
    <n v="13"/>
    <x v="2"/>
  </r>
  <r>
    <s v="TX502322"/>
    <x v="8"/>
    <x v="1"/>
    <n v="30.2"/>
    <n v="60.4"/>
    <x v="85"/>
    <d v="2025-03-28T00:00:00"/>
    <s v="F"/>
    <x v="2"/>
    <x v="2"/>
    <x v="0"/>
    <x v="6"/>
    <x v="3"/>
    <n v="13"/>
    <x v="2"/>
  </r>
  <r>
    <s v="TX502323"/>
    <x v="2"/>
    <x v="13"/>
    <n v="97"/>
    <n v="582"/>
    <x v="85"/>
    <d v="2025-03-31T00:00:00"/>
    <s v="F"/>
    <x v="0"/>
    <x v="2"/>
    <x v="0"/>
    <x v="7"/>
    <x v="5"/>
    <n v="13"/>
    <x v="2"/>
  </r>
  <r>
    <s v="TX502324"/>
    <x v="2"/>
    <x v="0"/>
    <n v="76.900000000000006"/>
    <n v="76.900000000000006"/>
    <x v="85"/>
    <d v="2025-03-28T00:00:00"/>
    <s v="M"/>
    <x v="1"/>
    <x v="2"/>
    <x v="0"/>
    <x v="8"/>
    <x v="3"/>
    <n v="13"/>
    <x v="1"/>
  </r>
  <r>
    <s v="TX502325"/>
    <x v="7"/>
    <x v="13"/>
    <n v="36.1"/>
    <n v="216.60000000000002"/>
    <x v="85"/>
    <d v="2025-03-31T00:00:00"/>
    <s v="F"/>
    <x v="0"/>
    <x v="0"/>
    <x v="0"/>
    <x v="8"/>
    <x v="5"/>
    <n v="13"/>
    <x v="2"/>
  </r>
  <r>
    <s v="TX502326"/>
    <x v="1"/>
    <x v="3"/>
    <n v="34.4"/>
    <n v="240.79999999999998"/>
    <x v="85"/>
    <d v="2025-03-27T00:00:00"/>
    <s v="F"/>
    <x v="2"/>
    <x v="1"/>
    <x v="0"/>
    <x v="11"/>
    <x v="7"/>
    <n v="13"/>
    <x v="2"/>
  </r>
  <r>
    <s v="TX502327"/>
    <x v="1"/>
    <x v="31"/>
    <n v="53.4"/>
    <n v="1495.2"/>
    <x v="85"/>
    <d v="2025-03-29T00:00:00"/>
    <s v="F"/>
    <x v="1"/>
    <x v="0"/>
    <x v="0"/>
    <x v="18"/>
    <x v="1"/>
    <n v="13"/>
    <x v="2"/>
  </r>
  <r>
    <s v="TX502328"/>
    <x v="2"/>
    <x v="0"/>
    <n v="77.599999999999994"/>
    <n v="77.599999999999994"/>
    <x v="85"/>
    <d v="2025-03-28T00:00:00"/>
    <s v="F"/>
    <x v="0"/>
    <x v="1"/>
    <x v="0"/>
    <x v="19"/>
    <x v="3"/>
    <n v="13"/>
    <x v="2"/>
  </r>
  <r>
    <s v="TX502329"/>
    <x v="1"/>
    <x v="2"/>
    <n v="71.7"/>
    <n v="215.10000000000002"/>
    <x v="85"/>
    <d v="2025-03-30T00:00:00"/>
    <s v="F"/>
    <x v="1"/>
    <x v="0"/>
    <x v="0"/>
    <x v="19"/>
    <x v="2"/>
    <n v="13"/>
    <x v="2"/>
  </r>
  <r>
    <s v="TX502330"/>
    <x v="3"/>
    <x v="2"/>
    <n v="80.599999999999994"/>
    <n v="241.79999999999998"/>
    <x v="85"/>
    <d v="2025-03-28T00:00:00"/>
    <s v="M"/>
    <x v="4"/>
    <x v="1"/>
    <x v="0"/>
    <x v="19"/>
    <x v="3"/>
    <n v="13"/>
    <x v="1"/>
  </r>
  <r>
    <s v="TX502331"/>
    <x v="1"/>
    <x v="20"/>
    <n v="70"/>
    <n v="1050"/>
    <x v="85"/>
    <d v="2025-03-29T00:00:00"/>
    <s v="M"/>
    <x v="0"/>
    <x v="0"/>
    <x v="0"/>
    <x v="20"/>
    <x v="1"/>
    <n v="13"/>
    <x v="1"/>
  </r>
  <r>
    <s v="TX502332"/>
    <x v="4"/>
    <x v="13"/>
    <n v="27.3"/>
    <n v="163.80000000000001"/>
    <x v="85"/>
    <d v="2025-03-29T00:00:00"/>
    <s v="F"/>
    <x v="1"/>
    <x v="1"/>
    <x v="0"/>
    <x v="2"/>
    <x v="1"/>
    <n v="13"/>
    <x v="2"/>
  </r>
  <r>
    <s v="TX502333"/>
    <x v="8"/>
    <x v="21"/>
    <n v="37.6"/>
    <n v="526.4"/>
    <x v="85"/>
    <d v="2025-03-29T00:00:00"/>
    <s v="M"/>
    <x v="1"/>
    <x v="0"/>
    <x v="0"/>
    <x v="3"/>
    <x v="1"/>
    <n v="13"/>
    <x v="1"/>
  </r>
  <r>
    <s v="TX502334"/>
    <x v="5"/>
    <x v="2"/>
    <n v="36.6"/>
    <n v="109.80000000000001"/>
    <x v="85"/>
    <d v="2025-03-29T00:00:00"/>
    <s v="F"/>
    <x v="4"/>
    <x v="0"/>
    <x v="0"/>
    <x v="3"/>
    <x v="1"/>
    <n v="13"/>
    <x v="2"/>
  </r>
  <r>
    <s v="TX502335"/>
    <x v="13"/>
    <x v="0"/>
    <n v="55.2"/>
    <n v="55.2"/>
    <x v="85"/>
    <d v="2025-03-29T00:00:00"/>
    <s v="M"/>
    <x v="3"/>
    <x v="0"/>
    <x v="0"/>
    <x v="3"/>
    <x v="1"/>
    <n v="13"/>
    <x v="1"/>
  </r>
  <r>
    <s v="TX502336"/>
    <x v="6"/>
    <x v="9"/>
    <n v="59.9"/>
    <n v="299.5"/>
    <x v="85"/>
    <d v="2025-03-29T00:00:00"/>
    <s v="M"/>
    <x v="0"/>
    <x v="0"/>
    <x v="0"/>
    <x v="3"/>
    <x v="1"/>
    <n v="13"/>
    <x v="1"/>
  </r>
  <r>
    <s v="TX502337"/>
    <x v="6"/>
    <x v="0"/>
    <n v="44"/>
    <n v="44"/>
    <x v="85"/>
    <d v="2025-03-28T00:00:00"/>
    <s v="F"/>
    <x v="2"/>
    <x v="2"/>
    <x v="0"/>
    <x v="3"/>
    <x v="3"/>
    <n v="13"/>
    <x v="2"/>
  </r>
  <r>
    <s v="TX502338"/>
    <x v="9"/>
    <x v="1"/>
    <n v="68.7"/>
    <n v="137.4"/>
    <x v="85"/>
    <d v="2025-03-27T00:00:00"/>
    <s v="M"/>
    <x v="0"/>
    <x v="0"/>
    <x v="0"/>
    <x v="3"/>
    <x v="7"/>
    <n v="13"/>
    <x v="1"/>
  </r>
  <r>
    <s v="TX502339"/>
    <x v="5"/>
    <x v="1"/>
    <n v="61.6"/>
    <n v="123.2"/>
    <x v="85"/>
    <d v="2025-03-31T00:00:00"/>
    <s v="M"/>
    <x v="3"/>
    <x v="1"/>
    <x v="0"/>
    <x v="3"/>
    <x v="5"/>
    <n v="13"/>
    <x v="1"/>
  </r>
  <r>
    <s v="TX502340"/>
    <x v="7"/>
    <x v="3"/>
    <n v="51.8"/>
    <n v="362.59999999999997"/>
    <x v="85"/>
    <d v="2025-03-28T00:00:00"/>
    <s v="M"/>
    <x v="0"/>
    <x v="0"/>
    <x v="0"/>
    <x v="3"/>
    <x v="3"/>
    <n v="13"/>
    <x v="1"/>
  </r>
  <r>
    <s v="TX502341"/>
    <x v="8"/>
    <x v="7"/>
    <n v="46.2"/>
    <n v="462"/>
    <x v="85"/>
    <d v="2025-03-29T00:00:00"/>
    <s v="M"/>
    <x v="1"/>
    <x v="2"/>
    <x v="0"/>
    <x v="3"/>
    <x v="1"/>
    <n v="13"/>
    <x v="1"/>
  </r>
  <r>
    <s v="TX502342"/>
    <x v="0"/>
    <x v="1"/>
    <n v="19.399999999999999"/>
    <n v="38.799999999999997"/>
    <x v="85"/>
    <d v="2025-03-29T00:00:00"/>
    <s v="F"/>
    <x v="1"/>
    <x v="2"/>
    <x v="0"/>
    <x v="6"/>
    <x v="1"/>
    <n v="13"/>
    <x v="2"/>
  </r>
  <r>
    <s v="TX502343"/>
    <x v="11"/>
    <x v="2"/>
    <n v="52.1"/>
    <n v="156.30000000000001"/>
    <x v="85"/>
    <d v="2025-03-30T00:00:00"/>
    <s v="M"/>
    <x v="3"/>
    <x v="3"/>
    <x v="0"/>
    <x v="6"/>
    <x v="2"/>
    <n v="13"/>
    <x v="1"/>
  </r>
  <r>
    <s v="TX502344"/>
    <x v="6"/>
    <x v="0"/>
    <n v="74.900000000000006"/>
    <n v="74.900000000000006"/>
    <x v="85"/>
    <d v="2025-03-29T00:00:00"/>
    <s v="O"/>
    <x v="0"/>
    <x v="0"/>
    <x v="0"/>
    <x v="7"/>
    <x v="1"/>
    <n v="13"/>
    <x v="3"/>
  </r>
  <r>
    <s v="TX502345"/>
    <x v="9"/>
    <x v="3"/>
    <n v="49.6"/>
    <n v="347.2"/>
    <x v="85"/>
    <d v="2025-03-30T00:00:00"/>
    <s v="F"/>
    <x v="4"/>
    <x v="0"/>
    <x v="0"/>
    <x v="8"/>
    <x v="2"/>
    <n v="13"/>
    <x v="2"/>
  </r>
  <r>
    <s v="TX502346"/>
    <x v="16"/>
    <x v="12"/>
    <n v="82.8"/>
    <n v="331.2"/>
    <x v="86"/>
    <d v="2025-03-31T00:00:00"/>
    <s v="F"/>
    <x v="4"/>
    <x v="0"/>
    <x v="0"/>
    <x v="8"/>
    <x v="2"/>
    <n v="13"/>
    <x v="2"/>
  </r>
  <r>
    <s v="TX502347"/>
    <x v="2"/>
    <x v="0"/>
    <n v="97.7"/>
    <n v="97.7"/>
    <x v="86"/>
    <d v="2025-03-29T00:00:00"/>
    <s v="F"/>
    <x v="1"/>
    <x v="0"/>
    <x v="0"/>
    <x v="8"/>
    <x v="3"/>
    <n v="13"/>
    <x v="2"/>
  </r>
  <r>
    <s v="TX502348"/>
    <x v="6"/>
    <x v="9"/>
    <n v="83.6"/>
    <n v="418"/>
    <x v="86"/>
    <d v="2025-03-29T00:00:00"/>
    <s v="F"/>
    <x v="4"/>
    <x v="0"/>
    <x v="0"/>
    <x v="8"/>
    <x v="3"/>
    <n v="13"/>
    <x v="2"/>
  </r>
  <r>
    <s v="TX502349"/>
    <x v="8"/>
    <x v="9"/>
    <n v="23.5"/>
    <n v="117.5"/>
    <x v="86"/>
    <d v="2025-04-01T00:00:00"/>
    <s v="O"/>
    <x v="0"/>
    <x v="0"/>
    <x v="0"/>
    <x v="8"/>
    <x v="5"/>
    <n v="13"/>
    <x v="3"/>
  </r>
  <r>
    <s v="TX502350"/>
    <x v="9"/>
    <x v="2"/>
    <n v="44.6"/>
    <n v="133.80000000000001"/>
    <x v="86"/>
    <d v="2025-03-31T00:00:00"/>
    <s v="F"/>
    <x v="4"/>
    <x v="1"/>
    <x v="0"/>
    <x v="26"/>
    <x v="2"/>
    <n v="13"/>
    <x v="2"/>
  </r>
  <r>
    <s v="TX502351"/>
    <x v="0"/>
    <x v="2"/>
    <n v="20.100000000000001"/>
    <n v="60.300000000000004"/>
    <x v="86"/>
    <d v="2025-03-30T00:00:00"/>
    <s v="F"/>
    <x v="3"/>
    <x v="4"/>
    <x v="0"/>
    <x v="11"/>
    <x v="1"/>
    <n v="13"/>
    <x v="2"/>
  </r>
  <r>
    <s v="TX502352"/>
    <x v="2"/>
    <x v="9"/>
    <n v="153.6"/>
    <n v="768"/>
    <x v="86"/>
    <d v="2025-03-29T00:00:00"/>
    <s v="F"/>
    <x v="1"/>
    <x v="2"/>
    <x v="0"/>
    <x v="53"/>
    <x v="3"/>
    <n v="13"/>
    <x v="2"/>
  </r>
  <r>
    <s v="TX502353"/>
    <x v="1"/>
    <x v="1"/>
    <n v="71.8"/>
    <n v="143.6"/>
    <x v="86"/>
    <d v="2025-04-01T00:00:00"/>
    <s v="F"/>
    <x v="1"/>
    <x v="0"/>
    <x v="0"/>
    <x v="1"/>
    <x v="5"/>
    <n v="13"/>
    <x v="2"/>
  </r>
  <r>
    <s v="TX502354"/>
    <x v="10"/>
    <x v="0"/>
    <n v="64.7"/>
    <n v="64.7"/>
    <x v="86"/>
    <d v="2025-03-30T00:00:00"/>
    <s v=""/>
    <x v="0"/>
    <x v="1"/>
    <x v="0"/>
    <x v="1"/>
    <x v="1"/>
    <n v="13"/>
    <x v="0"/>
  </r>
  <r>
    <s v="TX502355"/>
    <x v="9"/>
    <x v="8"/>
    <n v="60.4"/>
    <n v="483.2"/>
    <x v="86"/>
    <d v="2025-03-30T00:00:00"/>
    <s v="F"/>
    <x v="3"/>
    <x v="2"/>
    <x v="0"/>
    <x v="2"/>
    <x v="1"/>
    <n v="13"/>
    <x v="2"/>
  </r>
  <r>
    <s v="TX502356"/>
    <x v="6"/>
    <x v="12"/>
    <n v="86"/>
    <n v="344"/>
    <x v="86"/>
    <d v="2025-03-31T00:00:00"/>
    <s v="F"/>
    <x v="2"/>
    <x v="2"/>
    <x v="0"/>
    <x v="22"/>
    <x v="2"/>
    <n v="13"/>
    <x v="2"/>
  </r>
  <r>
    <s v="TX502357"/>
    <x v="12"/>
    <x v="1"/>
    <n v="42.1"/>
    <n v="84.2"/>
    <x v="86"/>
    <d v="2025-03-29T00:00:00"/>
    <s v="F"/>
    <x v="4"/>
    <x v="1"/>
    <x v="0"/>
    <x v="34"/>
    <x v="3"/>
    <n v="13"/>
    <x v="2"/>
  </r>
  <r>
    <s v="TX502358"/>
    <x v="16"/>
    <x v="11"/>
    <n v="51.1"/>
    <n v="459.90000000000003"/>
    <x v="86"/>
    <d v="2025-03-29T00:00:00"/>
    <s v="M"/>
    <x v="2"/>
    <x v="1"/>
    <x v="0"/>
    <x v="3"/>
    <x v="3"/>
    <n v="13"/>
    <x v="1"/>
  </r>
  <r>
    <s v="TX502359"/>
    <x v="9"/>
    <x v="12"/>
    <n v="73.8"/>
    <n v="295.2"/>
    <x v="86"/>
    <d v="2025-03-29T00:00:00"/>
    <s v="M"/>
    <x v="4"/>
    <x v="0"/>
    <x v="0"/>
    <x v="3"/>
    <x v="3"/>
    <n v="13"/>
    <x v="1"/>
  </r>
  <r>
    <s v="TX502360"/>
    <x v="8"/>
    <x v="9"/>
    <n v="27"/>
    <n v="135"/>
    <x v="86"/>
    <d v="2025-03-31T00:00:00"/>
    <s v="F"/>
    <x v="2"/>
    <x v="2"/>
    <x v="0"/>
    <x v="3"/>
    <x v="2"/>
    <n v="13"/>
    <x v="2"/>
  </r>
  <r>
    <s v="TX502361"/>
    <x v="8"/>
    <x v="13"/>
    <n v="60.1"/>
    <n v="360.6"/>
    <x v="86"/>
    <d v="2025-03-29T00:00:00"/>
    <s v="M"/>
    <x v="3"/>
    <x v="0"/>
    <x v="0"/>
    <x v="3"/>
    <x v="3"/>
    <n v="13"/>
    <x v="1"/>
  </r>
  <r>
    <s v="TX502362"/>
    <x v="2"/>
    <x v="3"/>
    <n v="94.1"/>
    <n v="658.69999999999993"/>
    <x v="86"/>
    <d v="2025-03-30T00:00:00"/>
    <s v="F"/>
    <x v="4"/>
    <x v="1"/>
    <x v="0"/>
    <x v="3"/>
    <x v="1"/>
    <n v="13"/>
    <x v="2"/>
  </r>
  <r>
    <s v="TX502363"/>
    <x v="2"/>
    <x v="1"/>
    <n v="124.1"/>
    <n v="248.2"/>
    <x v="86"/>
    <d v="2025-03-28T00:00:00"/>
    <s v="F"/>
    <x v="2"/>
    <x v="3"/>
    <x v="0"/>
    <x v="43"/>
    <x v="7"/>
    <n v="13"/>
    <x v="2"/>
  </r>
  <r>
    <s v="TX502364"/>
    <x v="8"/>
    <x v="12"/>
    <n v="16.899999999999999"/>
    <n v="67.599999999999994"/>
    <x v="86"/>
    <d v="2025-03-31T00:00:00"/>
    <s v="M"/>
    <x v="3"/>
    <x v="0"/>
    <x v="0"/>
    <x v="6"/>
    <x v="2"/>
    <n v="13"/>
    <x v="1"/>
  </r>
  <r>
    <s v="TX502365"/>
    <x v="1"/>
    <x v="0"/>
    <n v="36.9"/>
    <n v="36.9"/>
    <x v="86"/>
    <d v="2025-03-29T00:00:00"/>
    <s v="M"/>
    <x v="0"/>
    <x v="0"/>
    <x v="0"/>
    <x v="6"/>
    <x v="3"/>
    <n v="13"/>
    <x v="1"/>
  </r>
  <r>
    <s v="TX502366"/>
    <x v="9"/>
    <x v="1"/>
    <n v="22.6"/>
    <n v="45.2"/>
    <x v="86"/>
    <d v="2025-04-10T00:00:00"/>
    <s v="F"/>
    <x v="2"/>
    <x v="1"/>
    <x v="0"/>
    <x v="8"/>
    <x v="10"/>
    <n v="13"/>
    <x v="2"/>
  </r>
  <r>
    <s v="TX502367"/>
    <x v="7"/>
    <x v="12"/>
    <n v="35"/>
    <n v="140"/>
    <x v="86"/>
    <d v="2025-04-02T00:00:00"/>
    <s v="M"/>
    <x v="3"/>
    <x v="1"/>
    <x v="0"/>
    <x v="8"/>
    <x v="0"/>
    <n v="13"/>
    <x v="1"/>
  </r>
  <r>
    <s v="TX502368"/>
    <x v="9"/>
    <x v="13"/>
    <n v="63.6"/>
    <n v="381.6"/>
    <x v="86"/>
    <d v="2025-04-04T00:00:00"/>
    <s v=""/>
    <x v="1"/>
    <x v="2"/>
    <x v="0"/>
    <x v="8"/>
    <x v="6"/>
    <n v="13"/>
    <x v="0"/>
  </r>
  <r>
    <s v="TX502369"/>
    <x v="15"/>
    <x v="12"/>
    <n v="78.599999999999994"/>
    <n v="314.39999999999998"/>
    <x v="86"/>
    <d v="2025-03-29T00:00:00"/>
    <s v="M"/>
    <x v="4"/>
    <x v="1"/>
    <x v="0"/>
    <x v="8"/>
    <x v="3"/>
    <n v="13"/>
    <x v="1"/>
  </r>
  <r>
    <s v="TX502370"/>
    <x v="3"/>
    <x v="1"/>
    <n v="38.5"/>
    <n v="77"/>
    <x v="86"/>
    <d v="2025-03-29T00:00:00"/>
    <s v="M"/>
    <x v="0"/>
    <x v="2"/>
    <x v="0"/>
    <x v="8"/>
    <x v="3"/>
    <n v="13"/>
    <x v="1"/>
  </r>
  <r>
    <s v="TX502371"/>
    <x v="8"/>
    <x v="5"/>
    <n v="71.5"/>
    <n v="786.5"/>
    <x v="86"/>
    <d v="2025-03-29T00:00:00"/>
    <s v="F"/>
    <x v="1"/>
    <x v="4"/>
    <x v="0"/>
    <x v="8"/>
    <x v="3"/>
    <n v="13"/>
    <x v="2"/>
  </r>
  <r>
    <s v="TX502372"/>
    <x v="6"/>
    <x v="12"/>
    <n v="121.4"/>
    <n v="485.6"/>
    <x v="86"/>
    <d v="2025-04-01T00:00:00"/>
    <s v="M"/>
    <x v="1"/>
    <x v="2"/>
    <x v="0"/>
    <x v="17"/>
    <x v="5"/>
    <n v="13"/>
    <x v="1"/>
  </r>
  <r>
    <s v="TX502373"/>
    <x v="11"/>
    <x v="0"/>
    <n v="40.200000000000003"/>
    <n v="40.200000000000003"/>
    <x v="86"/>
    <d v="2025-03-31T00:00:00"/>
    <s v="F"/>
    <x v="0"/>
    <x v="2"/>
    <x v="0"/>
    <x v="11"/>
    <x v="2"/>
    <n v="13"/>
    <x v="2"/>
  </r>
  <r>
    <s v="TX502374"/>
    <x v="5"/>
    <x v="9"/>
    <n v="31.9"/>
    <n v="159.5"/>
    <x v="86"/>
    <d v="2025-03-30T00:00:00"/>
    <s v="F"/>
    <x v="2"/>
    <x v="2"/>
    <x v="0"/>
    <x v="28"/>
    <x v="1"/>
    <n v="13"/>
    <x v="2"/>
  </r>
  <r>
    <s v="TX502375"/>
    <x v="14"/>
    <x v="9"/>
    <n v="15.8"/>
    <n v="79"/>
    <x v="87"/>
    <d v="2025-03-30T00:00:00"/>
    <s v="M"/>
    <x v="3"/>
    <x v="2"/>
    <x v="0"/>
    <x v="21"/>
    <x v="3"/>
    <n v="13"/>
    <x v="1"/>
  </r>
  <r>
    <s v="TX502376"/>
    <x v="10"/>
    <x v="1"/>
    <n v="25.1"/>
    <n v="50.2"/>
    <x v="87"/>
    <d v="2025-03-31T00:00:00"/>
    <s v=""/>
    <x v="1"/>
    <x v="0"/>
    <x v="0"/>
    <x v="21"/>
    <x v="1"/>
    <n v="13"/>
    <x v="0"/>
  </r>
  <r>
    <s v="TX502377"/>
    <x v="1"/>
    <x v="44"/>
    <n v="38.1"/>
    <n v="876.30000000000007"/>
    <x v="87"/>
    <d v="2025-03-30T00:00:00"/>
    <s v="F"/>
    <x v="4"/>
    <x v="0"/>
    <x v="0"/>
    <x v="1"/>
    <x v="3"/>
    <n v="13"/>
    <x v="2"/>
  </r>
  <r>
    <s v="TX502378"/>
    <x v="3"/>
    <x v="1"/>
    <n v="42.2"/>
    <n v="84.4"/>
    <x v="87"/>
    <d v="2025-03-31T00:00:00"/>
    <s v="F"/>
    <x v="0"/>
    <x v="2"/>
    <x v="0"/>
    <x v="1"/>
    <x v="1"/>
    <n v="13"/>
    <x v="2"/>
  </r>
  <r>
    <s v="TX502379"/>
    <x v="0"/>
    <x v="7"/>
    <n v="12.3"/>
    <n v="123"/>
    <x v="87"/>
    <d v="2025-03-30T00:00:00"/>
    <s v="F"/>
    <x v="4"/>
    <x v="0"/>
    <x v="0"/>
    <x v="2"/>
    <x v="3"/>
    <n v="13"/>
    <x v="2"/>
  </r>
  <r>
    <s v="TX502380"/>
    <x v="7"/>
    <x v="0"/>
    <n v="30.2"/>
    <n v="30.2"/>
    <x v="87"/>
    <d v="2025-03-31T00:00:00"/>
    <s v="F"/>
    <x v="1"/>
    <x v="2"/>
    <x v="0"/>
    <x v="34"/>
    <x v="1"/>
    <n v="13"/>
    <x v="2"/>
  </r>
  <r>
    <s v="TX502381"/>
    <x v="5"/>
    <x v="2"/>
    <n v="25.3"/>
    <n v="75.900000000000006"/>
    <x v="87"/>
    <d v="2025-04-01T00:00:00"/>
    <s v="F"/>
    <x v="2"/>
    <x v="0"/>
    <x v="0"/>
    <x v="3"/>
    <x v="2"/>
    <n v="13"/>
    <x v="2"/>
  </r>
  <r>
    <s v="TX502382"/>
    <x v="8"/>
    <x v="9"/>
    <n v="29.7"/>
    <n v="148.5"/>
    <x v="87"/>
    <d v="2025-03-31T00:00:00"/>
    <s v="M"/>
    <x v="3"/>
    <x v="0"/>
    <x v="0"/>
    <x v="3"/>
    <x v="1"/>
    <n v="13"/>
    <x v="1"/>
  </r>
  <r>
    <s v="TX502383"/>
    <x v="9"/>
    <x v="8"/>
    <n v="32.9"/>
    <n v="263.2"/>
    <x v="87"/>
    <d v="2025-03-30T00:00:00"/>
    <s v=""/>
    <x v="3"/>
    <x v="2"/>
    <x v="0"/>
    <x v="3"/>
    <x v="3"/>
    <n v="13"/>
    <x v="0"/>
  </r>
  <r>
    <s v="TX502384"/>
    <x v="10"/>
    <x v="1"/>
    <n v="43.6"/>
    <n v="87.2"/>
    <x v="87"/>
    <d v="2025-03-30T00:00:00"/>
    <s v="M"/>
    <x v="1"/>
    <x v="2"/>
    <x v="0"/>
    <x v="3"/>
    <x v="3"/>
    <n v="13"/>
    <x v="1"/>
  </r>
  <r>
    <s v="TX502385"/>
    <x v="15"/>
    <x v="12"/>
    <n v="78.400000000000006"/>
    <n v="313.60000000000002"/>
    <x v="87"/>
    <d v="2025-03-30T00:00:00"/>
    <s v="M"/>
    <x v="2"/>
    <x v="0"/>
    <x v="0"/>
    <x v="3"/>
    <x v="3"/>
    <n v="13"/>
    <x v="1"/>
  </r>
  <r>
    <s v="TX502386"/>
    <x v="6"/>
    <x v="1"/>
    <n v="56.5"/>
    <n v="113"/>
    <x v="87"/>
    <d v="2025-04-02T00:00:00"/>
    <s v="M"/>
    <x v="1"/>
    <x v="1"/>
    <x v="0"/>
    <x v="3"/>
    <x v="5"/>
    <n v="13"/>
    <x v="1"/>
  </r>
  <r>
    <s v="TX502387"/>
    <x v="16"/>
    <x v="0"/>
    <n v="36.700000000000003"/>
    <n v="36.700000000000003"/>
    <x v="87"/>
    <d v="2025-03-30T00:00:00"/>
    <s v="F"/>
    <x v="0"/>
    <x v="2"/>
    <x v="0"/>
    <x v="3"/>
    <x v="3"/>
    <n v="13"/>
    <x v="2"/>
  </r>
  <r>
    <s v="TX502388"/>
    <x v="2"/>
    <x v="12"/>
    <n v="103.6"/>
    <n v="414.4"/>
    <x v="87"/>
    <d v="2025-04-09T00:00:00"/>
    <s v="M"/>
    <x v="4"/>
    <x v="2"/>
    <x v="0"/>
    <x v="3"/>
    <x v="11"/>
    <n v="13"/>
    <x v="1"/>
  </r>
  <r>
    <s v="TX502389"/>
    <x v="8"/>
    <x v="13"/>
    <n v="16.2"/>
    <n v="97.199999999999989"/>
    <x v="87"/>
    <d v="2025-04-02T00:00:00"/>
    <s v="M"/>
    <x v="1"/>
    <x v="2"/>
    <x v="0"/>
    <x v="6"/>
    <x v="5"/>
    <n v="13"/>
    <x v="1"/>
  </r>
  <r>
    <s v="TX502390"/>
    <x v="8"/>
    <x v="1"/>
    <n v="20.2"/>
    <n v="40.4"/>
    <x v="87"/>
    <d v="2025-03-30T00:00:00"/>
    <s v="F"/>
    <x v="0"/>
    <x v="0"/>
    <x v="0"/>
    <x v="6"/>
    <x v="3"/>
    <n v="13"/>
    <x v="2"/>
  </r>
  <r>
    <s v="TX502391"/>
    <x v="11"/>
    <x v="1"/>
    <n v="26.9"/>
    <n v="53.8"/>
    <x v="87"/>
    <d v="2025-03-31T00:00:00"/>
    <s v="F"/>
    <x v="2"/>
    <x v="0"/>
    <x v="0"/>
    <x v="6"/>
    <x v="1"/>
    <n v="13"/>
    <x v="2"/>
  </r>
  <r>
    <s v="TX502392"/>
    <x v="1"/>
    <x v="1"/>
    <n v="82.4"/>
    <n v="164.8"/>
    <x v="87"/>
    <d v="2025-04-01T00:00:00"/>
    <s v=""/>
    <x v="0"/>
    <x v="0"/>
    <x v="0"/>
    <x v="7"/>
    <x v="2"/>
    <n v="13"/>
    <x v="0"/>
  </r>
  <r>
    <s v="TX502393"/>
    <x v="2"/>
    <x v="1"/>
    <n v="117.8"/>
    <n v="235.6"/>
    <x v="87"/>
    <d v="2025-03-31T00:00:00"/>
    <s v="M"/>
    <x v="1"/>
    <x v="2"/>
    <x v="0"/>
    <x v="8"/>
    <x v="1"/>
    <n v="13"/>
    <x v="1"/>
  </r>
  <r>
    <s v="TX502394"/>
    <x v="11"/>
    <x v="12"/>
    <n v="36.700000000000003"/>
    <n v="146.80000000000001"/>
    <x v="87"/>
    <d v="2025-03-30T00:00:00"/>
    <s v="M"/>
    <x v="1"/>
    <x v="0"/>
    <x v="0"/>
    <x v="8"/>
    <x v="3"/>
    <n v="13"/>
    <x v="1"/>
  </r>
  <r>
    <s v="TX502395"/>
    <x v="17"/>
    <x v="2"/>
    <n v="46.8"/>
    <n v="140.39999999999998"/>
    <x v="87"/>
    <d v="2025-03-30T00:00:00"/>
    <s v="M"/>
    <x v="4"/>
    <x v="2"/>
    <x v="0"/>
    <x v="10"/>
    <x v="3"/>
    <n v="13"/>
    <x v="1"/>
  </r>
  <r>
    <s v="TX502396"/>
    <x v="3"/>
    <x v="0"/>
    <n v="61.4"/>
    <n v="61.4"/>
    <x v="87"/>
    <d v="2025-03-30T00:00:00"/>
    <s v="M"/>
    <x v="1"/>
    <x v="0"/>
    <x v="0"/>
    <x v="10"/>
    <x v="3"/>
    <n v="13"/>
    <x v="1"/>
  </r>
  <r>
    <s v="TX502397"/>
    <x v="15"/>
    <x v="1"/>
    <n v="22.9"/>
    <n v="45.8"/>
    <x v="87"/>
    <d v="2025-03-30T00:00:00"/>
    <s v="M"/>
    <x v="0"/>
    <x v="0"/>
    <x v="0"/>
    <x v="11"/>
    <x v="3"/>
    <n v="13"/>
    <x v="1"/>
  </r>
  <r>
    <s v="TX502398"/>
    <x v="10"/>
    <x v="1"/>
    <n v="22.1"/>
    <n v="44.2"/>
    <x v="87"/>
    <d v="2025-03-30T00:00:00"/>
    <s v="F"/>
    <x v="4"/>
    <x v="0"/>
    <x v="0"/>
    <x v="11"/>
    <x v="3"/>
    <n v="13"/>
    <x v="2"/>
  </r>
  <r>
    <s v="TX502399"/>
    <x v="12"/>
    <x v="1"/>
    <n v="31"/>
    <n v="62"/>
    <x v="87"/>
    <d v="2025-03-31T00:00:00"/>
    <s v="F"/>
    <x v="2"/>
    <x v="0"/>
    <x v="0"/>
    <x v="18"/>
    <x v="1"/>
    <n v="13"/>
    <x v="2"/>
  </r>
  <r>
    <s v="TX502400"/>
    <x v="18"/>
    <x v="1"/>
    <n v="84.2"/>
    <n v="168.4"/>
    <x v="87"/>
    <d v="2025-03-31T00:00:00"/>
    <s v="M"/>
    <x v="2"/>
    <x v="2"/>
    <x v="0"/>
    <x v="13"/>
    <x v="1"/>
    <n v="1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vtDur"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11:C25" firstHeaderRow="0" firstDataRow="1" firstDataCol="1"/>
  <pivotFields count="3">
    <pivotField dataField="1" showAll="0"/>
    <pivotField dataField="1" showAll="0"/>
    <pivotField axis="axisRow" allDrilled="1" showAll="0" dataSourceSort="1" defaultAttributeDrillState="1">
      <items count="14">
        <item x="0"/>
        <item x="1"/>
        <item x="2"/>
        <item x="3"/>
        <item x="4"/>
        <item x="5"/>
        <item x="6"/>
        <item x="7"/>
        <item x="8"/>
        <item x="9"/>
        <item x="10"/>
        <item x="11"/>
        <item x="12"/>
        <item t="default"/>
      </items>
    </pivotField>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0" baseField="0" baseItem="0"/>
    <dataField name="Sum of Amount" fld="1" baseField="0" baseItem="0"/>
  </dataFields>
  <formats count="1">
    <format dxfId="5">
      <pivotArea collapsedLevelsAreSubtotals="1" fieldPosition="0">
        <references count="2">
          <reference field="4294967294" count="1" selected="0">
            <x v="1"/>
          </reference>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Lst>
</pivotTableDefinition>
</file>

<file path=xl/pivotTables/pivotTable2.xml><?xml version="1.0" encoding="utf-8"?>
<pivotTableDefinition xmlns="http://schemas.openxmlformats.org/spreadsheetml/2006/main" name="pvtMatrix"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Count of TX ID" fld="0" subtotal="count" baseField="0" baseItem="0"/>
    <dataField name="Sum of Amount" fld="1" baseField="0" baseItem="0"/>
    <dataField name="Sum of Quantity" fld="2" baseField="0" baseItem="0"/>
    <dataField name="Average of Rating C" fld="3" subtotal="average" baseField="0" baseItem="3"/>
    <dataField name="Average of Days to Deliver" fld="4" subtotal="average" baseField="0" baseItem="4"/>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Lst>
</pivotTableDefinition>
</file>

<file path=xl/pivotTables/pivotTable3.xml><?xml version="1.0" encoding="utf-8"?>
<pivotTableDefinition xmlns="http://schemas.openxmlformats.org/spreadsheetml/2006/main" name="pvtGender"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10" firstHeaderRow="1" firstDataRow="2" firstDataCol="1"/>
  <pivotFields count="3">
    <pivotField axis="axisRow" allDrilled="1" showAll="0" dataSourceSort="1" defaultAttributeDrillState="1">
      <items count="6">
        <item x="0"/>
        <item x="1"/>
        <item x="2"/>
        <item x="3"/>
        <item x="4"/>
        <item t="default"/>
      </items>
    </pivotField>
    <pivotField axis="axisCol" allDrilled="1" showAll="0" dataSourceSort="1" defaultAttributeDrillState="1">
      <items count="5">
        <item x="0"/>
        <item x="1"/>
        <item x="2"/>
        <item x="3"/>
        <item t="default"/>
      </items>
    </pivotField>
    <pivotField dataField="1" showAll="0"/>
  </pivotFields>
  <rowFields count="1">
    <field x="0"/>
  </rowFields>
  <rowItems count="6">
    <i>
      <x/>
    </i>
    <i>
      <x v="1"/>
    </i>
    <i>
      <x v="2"/>
    </i>
    <i>
      <x v="3"/>
    </i>
    <i>
      <x v="4"/>
    </i>
    <i t="grand">
      <x/>
    </i>
  </rowItems>
  <colFields count="1">
    <field x="1"/>
  </colFields>
  <colItems count="5">
    <i>
      <x/>
    </i>
    <i>
      <x v="1"/>
    </i>
    <i>
      <x v="2"/>
    </i>
    <i>
      <x v="3"/>
    </i>
    <i t="grand">
      <x/>
    </i>
  </colItems>
  <dataFields count="1">
    <dataField name="Sum of Amount" fld="2" showDataAs="percentOfTotal" baseField="0" baseItem="0" numFmtId="1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Lst>
</pivotTableDefinition>
</file>

<file path=xl/pivotTables/pivotTable4.xml><?xml version="1.0" encoding="utf-8"?>
<pivotTableDefinition xmlns="http://schemas.openxmlformats.org/spreadsheetml/2006/main" name="pvtmm"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20:I21"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Count of TX ID" fld="0" subtotal="count" baseField="0" baseItem="0"/>
    <dataField name="Sum of Amount" fld="1" baseField="0" baseItem="0"/>
    <dataField name="Sum of Quantity" fld="2" baseField="0" baseItem="0"/>
    <dataField name="Average of Rating C" fld="3" subtotal="average" baseField="0" baseItem="3"/>
    <dataField name="Average of Days to Deliver" fld="4" subtotal="average" baseField="0" baseItem="4"/>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Lst>
</pivotTableDefinition>
</file>

<file path=xl/pivotTables/pivotTable5.xml><?xml version="1.0" encoding="utf-8"?>
<pivotTableDefinition xmlns="http://schemas.openxmlformats.org/spreadsheetml/2006/main" name="pvtPro"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11"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defaultSubtotal="0">
      <items count="7">
        <item x="1"/>
        <item x="2"/>
        <item x="3"/>
        <item x="4"/>
        <item x="5"/>
        <item n="6 to 10" x="0"/>
        <item n="more than 10" x="6"/>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1">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5" count="1" selected="0">
            <x v="4"/>
          </reference>
        </references>
      </pivotArea>
    </chartFormat>
    <chartFormat chart="7" format="7">
      <pivotArea type="data" outline="0" fieldPosition="0">
        <references count="2">
          <reference field="4294967294" count="1" selected="0">
            <x v="0"/>
          </reference>
          <reference field="15" count="1" selected="0">
            <x v="0"/>
          </reference>
        </references>
      </pivotArea>
    </chartFormat>
    <chartFormat chart="7" format="8">
      <pivotArea type="data" outline="0" fieldPosition="0">
        <references count="2">
          <reference field="4294967294" count="1" selected="0">
            <x v="0"/>
          </reference>
          <reference field="15" count="1" selected="0">
            <x v="1"/>
          </reference>
        </references>
      </pivotArea>
    </chartFormat>
    <chartFormat chart="7" format="9">
      <pivotArea type="data" outline="0" fieldPosition="0">
        <references count="2">
          <reference field="4294967294" count="1" selected="0">
            <x v="0"/>
          </reference>
          <reference field="15" count="1" selected="0">
            <x v="2"/>
          </reference>
        </references>
      </pivotArea>
    </chartFormat>
    <chartFormat chart="7" format="10">
      <pivotArea type="data" outline="0" fieldPosition="0">
        <references count="2">
          <reference field="4294967294" count="1" selected="0">
            <x v="0"/>
          </reference>
          <reference field="15" count="1" selected="0">
            <x v="3"/>
          </reference>
        </references>
      </pivotArea>
    </chartFormat>
    <chartFormat chart="7" format="11">
      <pivotArea type="data" outline="0" fieldPosition="0">
        <references count="2">
          <reference field="4294967294" count="1" selected="0">
            <x v="0"/>
          </reference>
          <reference field="15" count="1" selected="0">
            <x v="5"/>
          </reference>
        </references>
      </pivotArea>
    </chartFormat>
    <chartFormat chart="7" format="12">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L4:M9" firstHeaderRow="1" firstDataRow="1" firstDataCol="1"/>
  <pivotFields count="16">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s>
  <rowFields count="1">
    <field x="14"/>
  </rowFields>
  <rowItems count="5">
    <i>
      <x/>
    </i>
    <i>
      <x v="1"/>
    </i>
    <i>
      <x v="2"/>
    </i>
    <i>
      <x v="3"/>
    </i>
    <i t="grand">
      <x/>
    </i>
  </rowItems>
  <colItems count="1">
    <i/>
  </colItems>
  <dataFields count="1">
    <dataField name="Sum of Quantity" fld="2" baseField="0" baseItem="0"/>
  </dataFields>
  <chartFormats count="6">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4" count="1" selected="0">
            <x v="0"/>
          </reference>
        </references>
      </pivotArea>
    </chartFormat>
    <chartFormat chart="19" format="8">
      <pivotArea type="data" outline="0" fieldPosition="0">
        <references count="2">
          <reference field="4294967294" count="1" selected="0">
            <x v="0"/>
          </reference>
          <reference field="14" count="1" selected="0">
            <x v="1"/>
          </reference>
        </references>
      </pivotArea>
    </chartFormat>
    <chartFormat chart="19" format="9">
      <pivotArea type="data" outline="0" fieldPosition="0">
        <references count="2">
          <reference field="4294967294" count="1" selected="0">
            <x v="0"/>
          </reference>
          <reference field="14" count="1" selected="0">
            <x v="2"/>
          </reference>
        </references>
      </pivotArea>
    </chartFormat>
    <chartFormat chart="1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F25"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4">
  <location ref="A3:D61"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3">
          <reference field="4294967294" count="1" selected="0">
            <x v="0"/>
          </reference>
          <reference field="10" count="1" selected="0">
            <x v="0"/>
          </reference>
          <reference field="11" count="1" selected="0">
            <x v="4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showHeaders="0" outline="1" outlineData="1" multipleFieldFilters="0" chartFormat="4">
  <location ref="A21:G26" firstHeaderRow="1" firstDataRow="2"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s>
  <rowFields count="1">
    <field x="5"/>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3" format="10" series="1">
      <pivotArea type="data" outline="0" fieldPosition="0">
        <references count="2">
          <reference field="4294967294" count="1" selected="0">
            <x v="0"/>
          </reference>
          <reference field="9" count="1" selected="0">
            <x v="0"/>
          </reference>
        </references>
      </pivotArea>
    </chartFormat>
    <chartFormat chart="3" format="11" series="1">
      <pivotArea type="data" outline="0" fieldPosition="0">
        <references count="2">
          <reference field="4294967294" count="1" selected="0">
            <x v="0"/>
          </reference>
          <reference field="9" count="1" selected="0">
            <x v="1"/>
          </reference>
        </references>
      </pivotArea>
    </chartFormat>
    <chartFormat chart="3" format="12"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3"/>
          </reference>
        </references>
      </pivotArea>
    </chartFormat>
    <chartFormat chart="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9"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C19" firstHeaderRow="0" firstDataRow="1"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showAll="0"/>
    <pivotField showAll="0"/>
    <pivotField showAll="0"/>
    <pivotField axis="axisRow" dataField="1"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Days to Deliver" fld="12" baseField="0" baseItem="0"/>
    <dataField name="Sum of Amount"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pivotTables>
    <pivotTable tabId="10" name="PivotTable7"/>
    <pivotTable tabId="7" name="pvtPro"/>
    <pivotTable tabId="8" name="PivotTable1"/>
    <pivotTable tabId="8" name="PivotTable2"/>
    <pivotTable tabId="9" name="PivotTable3"/>
    <pivotTable tabId="10" name="PivotTable6"/>
    <pivotTable tabId="13" name="PivotTable14"/>
  </pivotTables>
  <data>
    <tabular pivotCacheId="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_Value" sourceName="Gender Value">
  <pivotTables>
    <pivotTable tabId="10" name="PivotTable7"/>
    <pivotTable tabId="7" name="pvtPro"/>
    <pivotTable tabId="8" name="PivotTable1"/>
    <pivotTable tabId="8" name="PivotTable2"/>
    <pivotTable tabId="9" name="PivotTable3"/>
    <pivotTable tabId="10" name="PivotTable6"/>
    <pivotTable tabId="13" name="PivotTable14"/>
  </pivotTables>
  <data>
    <tabular pivotCacheId="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de" cache="Slicer_Order_Mode" caption="Order Mode" rowHeight="241300"/>
  <slicer name="Gender Value" cache="Slicer_Gender_Value" caption="Gender Valu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rder Mode 1" cache="Slicer_Order_Mode" caption="Order Mode" rowHeight="360000"/>
  <slicer name="Gender Value 1" cache="Slicer_Gender_Value" caption="Gender Value" rowHeight="468000"/>
</slicers>
</file>

<file path=xl/tables/table1.xml><?xml version="1.0" encoding="utf-8"?>
<table xmlns="http://schemas.openxmlformats.org/spreadsheetml/2006/main" id="1" name="orders" displayName="orders" ref="A1:O2401" totalsRowShown="0">
  <tableColumns count="15">
    <tableColumn id="1" name="TX ID"/>
    <tableColumn id="2" name="Product"/>
    <tableColumn id="3" name="Quantity"/>
    <tableColumn id="4" name="Unit Price"/>
    <tableColumn id="5" name="Amount"/>
    <tableColumn id="6" name="Order Date" dataDxfId="4"/>
    <tableColumn id="7" name="Ship Date" dataDxfId="3"/>
    <tableColumn id="8" name="Customer Gender"/>
    <tableColumn id="9" name="Order Mode"/>
    <tableColumn id="10" name="Rating C"/>
    <tableColumn id="15" name="State"/>
    <tableColumn id="14" name="County"/>
    <tableColumn id="11" name="Days to Deliver" dataDxfId="2">
      <calculatedColumnFormula>orders[[#This Row],[Ship Date]]-orders[[#This Row],[Order Date]]</calculatedColumnFormula>
    </tableColumn>
    <tableColumn id="12" name="Weeknum" dataDxfId="1">
      <calculatedColumnFormula>WEEKNUM(orders[[#This Row],[Order Date]])</calculatedColumnFormula>
    </tableColumn>
    <tableColumn id="13"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5"/>
  <sheetViews>
    <sheetView workbookViewId="0">
      <selection activeCell="A3" sqref="A3"/>
    </sheetView>
  </sheetViews>
  <sheetFormatPr defaultRowHeight="14.25" x14ac:dyDescent="0.2"/>
  <cols>
    <col min="1" max="1" width="13.125" customWidth="1"/>
    <col min="2" max="2" width="15" customWidth="1"/>
    <col min="3" max="3" width="14.25" customWidth="1"/>
    <col min="4" max="4" width="18.875" bestFit="1" customWidth="1"/>
    <col min="5" max="5" width="24.875" bestFit="1" customWidth="1"/>
  </cols>
  <sheetData>
    <row r="3" spans="1:5" x14ac:dyDescent="0.2">
      <c r="A3" t="s">
        <v>2521</v>
      </c>
      <c r="B3" t="s">
        <v>2520</v>
      </c>
      <c r="C3" t="s">
        <v>2522</v>
      </c>
      <c r="D3" t="s">
        <v>2528</v>
      </c>
      <c r="E3" t="s">
        <v>2529</v>
      </c>
    </row>
    <row r="4" spans="1:5" x14ac:dyDescent="0.2">
      <c r="A4" s="7">
        <v>2400</v>
      </c>
      <c r="B4" s="7">
        <v>649019.80000000144</v>
      </c>
      <c r="C4" s="7">
        <v>11997</v>
      </c>
      <c r="D4" s="7">
        <v>3.9620833333333332</v>
      </c>
      <c r="E4" s="7">
        <v>2.3424999999999998</v>
      </c>
    </row>
    <row r="7" spans="1:5" x14ac:dyDescent="0.2">
      <c r="A7" t="s">
        <v>2523</v>
      </c>
      <c r="B7" t="s">
        <v>2524</v>
      </c>
      <c r="C7" t="s">
        <v>2525</v>
      </c>
      <c r="D7" t="s">
        <v>2526</v>
      </c>
      <c r="E7" t="s">
        <v>2527</v>
      </c>
    </row>
    <row r="8" spans="1:5" x14ac:dyDescent="0.2">
      <c r="A8" t="str">
        <f>TEXT(GETPIVOTDATA("[Measures].[Count of TX ID]",$A$3),"#,##")</f>
        <v>2,400</v>
      </c>
      <c r="B8" t="str">
        <f>TEXT(GETPIVOTDATA("[Measures].[Sum of Amount]",$A$3),"$#,##,.0k")</f>
        <v>$649.0k</v>
      </c>
      <c r="C8" t="str">
        <f>TEXT(GETPIVOTDATA("[Measures].[Sum of Quantity]",$A$3),"#,##")</f>
        <v>11,997</v>
      </c>
      <c r="D8" t="str">
        <f>TEXT(GETPIVOTDATA("[Measures].[Average of Rating C]",$A$3),"0.0")</f>
        <v>4.0</v>
      </c>
      <c r="E8" t="str">
        <f>TEXT(GETPIVOTDATA("[Measures].[Average of Days to Deliver]",$A$3),"0.0")</f>
        <v>2.3</v>
      </c>
    </row>
    <row r="11" spans="1:5" x14ac:dyDescent="0.2">
      <c r="A11" s="5" t="s">
        <v>2518</v>
      </c>
      <c r="B11" t="s">
        <v>2522</v>
      </c>
      <c r="C11" t="s">
        <v>2520</v>
      </c>
    </row>
    <row r="12" spans="1:5" x14ac:dyDescent="0.2">
      <c r="A12" s="6">
        <v>1</v>
      </c>
      <c r="B12" s="7">
        <v>546</v>
      </c>
      <c r="C12" s="8">
        <v>32413.300000000003</v>
      </c>
    </row>
    <row r="13" spans="1:5" x14ac:dyDescent="0.2">
      <c r="A13" s="6">
        <v>2</v>
      </c>
      <c r="B13" s="7">
        <v>905</v>
      </c>
      <c r="C13" s="8">
        <v>49562.999999999993</v>
      </c>
    </row>
    <row r="14" spans="1:5" x14ac:dyDescent="0.2">
      <c r="A14" s="6">
        <v>3</v>
      </c>
      <c r="B14" s="7">
        <v>796</v>
      </c>
      <c r="C14" s="8">
        <v>41700.400000000016</v>
      </c>
    </row>
    <row r="15" spans="1:5" x14ac:dyDescent="0.2">
      <c r="A15" s="6">
        <v>4</v>
      </c>
      <c r="B15" s="7">
        <v>913</v>
      </c>
      <c r="C15" s="8">
        <v>46782.599999999984</v>
      </c>
    </row>
    <row r="16" spans="1:5" x14ac:dyDescent="0.2">
      <c r="A16" s="6">
        <v>5</v>
      </c>
      <c r="B16" s="7">
        <v>844</v>
      </c>
      <c r="C16" s="8">
        <v>42676.100000000006</v>
      </c>
    </row>
    <row r="17" spans="1:3" x14ac:dyDescent="0.2">
      <c r="A17" s="6">
        <v>6</v>
      </c>
      <c r="B17" s="7">
        <v>1202</v>
      </c>
      <c r="C17" s="8">
        <v>62910.7</v>
      </c>
    </row>
    <row r="18" spans="1:3" x14ac:dyDescent="0.2">
      <c r="A18" s="6">
        <v>7</v>
      </c>
      <c r="B18" s="7">
        <v>935</v>
      </c>
      <c r="C18" s="8">
        <v>50332.200000000004</v>
      </c>
    </row>
    <row r="19" spans="1:3" x14ac:dyDescent="0.2">
      <c r="A19" s="6">
        <v>8</v>
      </c>
      <c r="B19" s="7">
        <v>1128</v>
      </c>
      <c r="C19" s="8">
        <v>58760.599999999977</v>
      </c>
    </row>
    <row r="20" spans="1:3" x14ac:dyDescent="0.2">
      <c r="A20" s="6">
        <v>9</v>
      </c>
      <c r="B20" s="7">
        <v>1007</v>
      </c>
      <c r="C20" s="8">
        <v>52017.299999999996</v>
      </c>
    </row>
    <row r="21" spans="1:3" x14ac:dyDescent="0.2">
      <c r="A21" s="6">
        <v>10</v>
      </c>
      <c r="B21" s="7">
        <v>1128</v>
      </c>
      <c r="C21" s="8">
        <v>64915.700000000033</v>
      </c>
    </row>
    <row r="22" spans="1:3" x14ac:dyDescent="0.2">
      <c r="A22" s="6">
        <v>11</v>
      </c>
      <c r="B22" s="7">
        <v>861</v>
      </c>
      <c r="C22" s="8">
        <v>45943.80000000001</v>
      </c>
    </row>
    <row r="23" spans="1:3" x14ac:dyDescent="0.2">
      <c r="A23" s="6">
        <v>12</v>
      </c>
      <c r="B23" s="7">
        <v>944</v>
      </c>
      <c r="C23" s="8">
        <v>55077.900000000031</v>
      </c>
    </row>
    <row r="24" spans="1:3" x14ac:dyDescent="0.2">
      <c r="A24" s="6">
        <v>13</v>
      </c>
      <c r="B24" s="7">
        <v>788</v>
      </c>
      <c r="C24" s="8">
        <v>45926.19999999999</v>
      </c>
    </row>
    <row r="25" spans="1:3" x14ac:dyDescent="0.2">
      <c r="A25" s="6" t="s">
        <v>2519</v>
      </c>
      <c r="B25" s="7">
        <v>11997</v>
      </c>
      <c r="C25" s="7">
        <v>649019.80000000144</v>
      </c>
    </row>
  </sheetData>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0"/>
  <sheetViews>
    <sheetView showGridLines="0" workbookViewId="0">
      <selection activeCell="A5" sqref="A5"/>
    </sheetView>
  </sheetViews>
  <sheetFormatPr defaultRowHeight="14.25" x14ac:dyDescent="0.2"/>
  <cols>
    <col min="1" max="1" width="14.25" bestFit="1" customWidth="1"/>
    <col min="2" max="2" width="16.125" bestFit="1" customWidth="1"/>
    <col min="3" max="3" width="7" customWidth="1"/>
    <col min="4" max="4" width="6" customWidth="1"/>
    <col min="5" max="5" width="9.125" bestFit="1" customWidth="1"/>
    <col min="6" max="6" width="11.375" bestFit="1" customWidth="1"/>
    <col min="8" max="8" width="10.875" customWidth="1"/>
    <col min="9" max="9" width="7.25" customWidth="1"/>
    <col min="10" max="10" width="7.625" customWidth="1"/>
    <col min="11" max="11" width="6.75" customWidth="1"/>
    <col min="12" max="12" width="9.125" customWidth="1"/>
  </cols>
  <sheetData>
    <row r="2" spans="1:12" x14ac:dyDescent="0.2">
      <c r="H2" t="s">
        <v>2535</v>
      </c>
    </row>
    <row r="3" spans="1:12" x14ac:dyDescent="0.2">
      <c r="A3" s="5" t="s">
        <v>2520</v>
      </c>
      <c r="B3" s="5" t="s">
        <v>2530</v>
      </c>
    </row>
    <row r="4" spans="1:12" ht="22.5" customHeight="1" x14ac:dyDescent="0.2">
      <c r="A4" s="5" t="s">
        <v>2518</v>
      </c>
      <c r="B4" t="s">
        <v>2531</v>
      </c>
      <c r="C4" t="s">
        <v>2532</v>
      </c>
      <c r="D4" t="s">
        <v>2533</v>
      </c>
      <c r="E4" t="s">
        <v>2534</v>
      </c>
      <c r="F4" t="s">
        <v>2519</v>
      </c>
      <c r="H4" s="10"/>
      <c r="I4" s="10" t="str">
        <f>B4</f>
        <v>Female</v>
      </c>
      <c r="J4" s="10" t="str">
        <f t="shared" ref="J4:L4" si="0">C4</f>
        <v>Male</v>
      </c>
      <c r="K4" s="10" t="str">
        <f t="shared" si="0"/>
        <v>Other</v>
      </c>
      <c r="L4" s="10" t="str">
        <f t="shared" si="0"/>
        <v>Unknown</v>
      </c>
    </row>
    <row r="5" spans="1:12" ht="22.5" customHeight="1" x14ac:dyDescent="0.2">
      <c r="A5" s="6" t="s">
        <v>18</v>
      </c>
      <c r="B5" s="9">
        <v>0.18961825201634799</v>
      </c>
      <c r="C5" s="9">
        <v>0.12262322351336549</v>
      </c>
      <c r="D5" s="9">
        <v>1.0605377524691827E-2</v>
      </c>
      <c r="E5" s="9">
        <v>3.0599220547662731E-2</v>
      </c>
      <c r="F5" s="9">
        <v>0.35344607360206787</v>
      </c>
      <c r="H5" s="10" t="str">
        <f>A5</f>
        <v>App</v>
      </c>
      <c r="I5" s="11">
        <f t="shared" ref="I5:L9" si="1">B5</f>
        <v>0.18961825201634799</v>
      </c>
      <c r="J5" s="11">
        <f t="shared" si="1"/>
        <v>0.12262322351336549</v>
      </c>
      <c r="K5" s="11">
        <f t="shared" si="1"/>
        <v>1.0605377524691827E-2</v>
      </c>
      <c r="L5" s="11">
        <f t="shared" si="1"/>
        <v>3.0599220547662731E-2</v>
      </c>
    </row>
    <row r="6" spans="1:12" ht="21" customHeight="1" x14ac:dyDescent="0.2">
      <c r="A6" s="6" t="s">
        <v>51</v>
      </c>
      <c r="B6" s="9">
        <v>5.0283982091147192E-2</v>
      </c>
      <c r="C6" s="9">
        <v>4.3060781812819776E-2</v>
      </c>
      <c r="D6" s="9">
        <v>1.5320025675641909E-3</v>
      </c>
      <c r="E6" s="9">
        <v>1.7794988689096968E-2</v>
      </c>
      <c r="F6" s="9">
        <v>0.11267175516062811</v>
      </c>
      <c r="H6" s="10" t="str">
        <f t="shared" ref="H6:H9" si="2">A6</f>
        <v>Instagram</v>
      </c>
      <c r="I6" s="11">
        <f t="shared" si="1"/>
        <v>5.0283982091147192E-2</v>
      </c>
      <c r="J6" s="11">
        <f t="shared" si="1"/>
        <v>4.3060781812819776E-2</v>
      </c>
      <c r="K6" s="11">
        <f t="shared" si="1"/>
        <v>1.5320025675641909E-3</v>
      </c>
      <c r="L6" s="11">
        <f t="shared" si="1"/>
        <v>1.7794988689096968E-2</v>
      </c>
    </row>
    <row r="7" spans="1:12" ht="21" customHeight="1" x14ac:dyDescent="0.2">
      <c r="A7" s="6" t="s">
        <v>70</v>
      </c>
      <c r="B7" s="9">
        <v>6.3496059750411143E-2</v>
      </c>
      <c r="C7" s="9">
        <v>4.6071629863988661E-2</v>
      </c>
      <c r="D7" s="9">
        <v>2.3062470513226202E-3</v>
      </c>
      <c r="E7" s="9">
        <v>3.8927934093844199E-3</v>
      </c>
      <c r="F7" s="9">
        <v>0.11576673007510684</v>
      </c>
      <c r="H7" s="10" t="str">
        <f t="shared" si="2"/>
        <v>Partner App</v>
      </c>
      <c r="I7" s="11">
        <f t="shared" si="1"/>
        <v>6.3496059750411143E-2</v>
      </c>
      <c r="J7" s="11">
        <f t="shared" si="1"/>
        <v>4.6071629863988661E-2</v>
      </c>
      <c r="K7" s="11">
        <f t="shared" si="1"/>
        <v>2.3062470513226202E-3</v>
      </c>
      <c r="L7" s="11">
        <f t="shared" si="1"/>
        <v>3.8927934093844199E-3</v>
      </c>
    </row>
    <row r="8" spans="1:12" ht="20.25" customHeight="1" x14ac:dyDescent="0.2">
      <c r="A8" s="6" t="s">
        <v>40</v>
      </c>
      <c r="B8" s="9">
        <v>9.6337892927149324E-2</v>
      </c>
      <c r="C8" s="9">
        <v>6.7920115842382472E-2</v>
      </c>
      <c r="D8" s="9">
        <v>5.4979832664581148E-3</v>
      </c>
      <c r="E8" s="9">
        <v>1.293304148810249E-2</v>
      </c>
      <c r="F8" s="9">
        <v>0.18268903352409238</v>
      </c>
      <c r="H8" s="10" t="str">
        <f t="shared" si="2"/>
        <v>Target.com</v>
      </c>
      <c r="I8" s="11">
        <f t="shared" si="1"/>
        <v>9.6337892927149324E-2</v>
      </c>
      <c r="J8" s="11">
        <f t="shared" si="1"/>
        <v>6.7920115842382472E-2</v>
      </c>
      <c r="K8" s="11">
        <f t="shared" si="1"/>
        <v>5.4979832664581148E-3</v>
      </c>
      <c r="L8" s="11">
        <f t="shared" si="1"/>
        <v>1.293304148810249E-2</v>
      </c>
    </row>
    <row r="9" spans="1:12" ht="18.75" customHeight="1" x14ac:dyDescent="0.2">
      <c r="A9" s="6" t="s">
        <v>35</v>
      </c>
      <c r="B9" s="9">
        <v>0.12522098709469234</v>
      </c>
      <c r="C9" s="9">
        <v>9.1492740283116034E-2</v>
      </c>
      <c r="D9" s="9">
        <v>6.3042760790964951E-3</v>
      </c>
      <c r="E9" s="9">
        <v>1.2408404181197525E-2</v>
      </c>
      <c r="F9" s="9">
        <v>0.23542640763810224</v>
      </c>
      <c r="H9" s="10" t="str">
        <f t="shared" si="2"/>
        <v>Website</v>
      </c>
      <c r="I9" s="11">
        <f t="shared" si="1"/>
        <v>0.12522098709469234</v>
      </c>
      <c r="J9" s="11">
        <f t="shared" si="1"/>
        <v>9.1492740283116034E-2</v>
      </c>
      <c r="K9" s="11">
        <f t="shared" si="1"/>
        <v>6.3042760790964951E-3</v>
      </c>
      <c r="L9" s="11">
        <f t="shared" si="1"/>
        <v>1.2408404181197525E-2</v>
      </c>
    </row>
    <row r="10" spans="1:12" ht="17.25" customHeight="1" x14ac:dyDescent="0.2">
      <c r="A10" s="6" t="s">
        <v>2519</v>
      </c>
      <c r="B10" s="9">
        <v>0.52495717387974805</v>
      </c>
      <c r="C10" s="9">
        <v>0.37116849131567226</v>
      </c>
      <c r="D10" s="9">
        <v>2.624588648913324E-2</v>
      </c>
      <c r="E10" s="9">
        <v>7.7628448315444132E-2</v>
      </c>
      <c r="F10" s="9">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1"/>
  <sheetViews>
    <sheetView topLeftCell="A13" zoomScale="86" workbookViewId="0">
      <selection activeCell="I28" sqref="F28:I40"/>
    </sheetView>
  </sheetViews>
  <sheetFormatPr defaultRowHeight="14.25" x14ac:dyDescent="0.2"/>
  <cols>
    <col min="1" max="1" width="14.125" bestFit="1" customWidth="1"/>
    <col min="2" max="2" width="14.375" customWidth="1"/>
    <col min="3" max="3" width="15.375" customWidth="1"/>
    <col min="5" max="5" width="14.375" bestFit="1" customWidth="1"/>
    <col min="6" max="6" width="15.375" bestFit="1" customWidth="1"/>
    <col min="7" max="7" width="16" bestFit="1" customWidth="1"/>
    <col min="8" max="8" width="19.75" bestFit="1" customWidth="1"/>
    <col min="9" max="9" width="26" bestFit="1" customWidth="1"/>
  </cols>
  <sheetData>
    <row r="3" spans="1:2" x14ac:dyDescent="0.2">
      <c r="A3" s="5" t="s">
        <v>2518</v>
      </c>
      <c r="B3" t="s">
        <v>2521</v>
      </c>
    </row>
    <row r="4" spans="1:2" x14ac:dyDescent="0.2">
      <c r="A4" s="6" t="s">
        <v>2537</v>
      </c>
      <c r="B4" s="7">
        <v>397</v>
      </c>
    </row>
    <row r="5" spans="1:2" x14ac:dyDescent="0.2">
      <c r="A5" s="6" t="s">
        <v>2538</v>
      </c>
      <c r="B5" s="7">
        <v>540</v>
      </c>
    </row>
    <row r="6" spans="1:2" x14ac:dyDescent="0.2">
      <c r="A6" s="6" t="s">
        <v>2539</v>
      </c>
      <c r="B6" s="7">
        <v>375</v>
      </c>
    </row>
    <row r="7" spans="1:2" x14ac:dyDescent="0.2">
      <c r="A7" s="6" t="s">
        <v>2540</v>
      </c>
      <c r="B7" s="7">
        <v>246</v>
      </c>
    </row>
    <row r="8" spans="1:2" x14ac:dyDescent="0.2">
      <c r="A8" s="6" t="s">
        <v>2541</v>
      </c>
      <c r="B8" s="7">
        <v>195</v>
      </c>
    </row>
    <row r="9" spans="1:2" x14ac:dyDescent="0.2">
      <c r="A9" s="6" t="s">
        <v>2536</v>
      </c>
      <c r="B9" s="7">
        <v>414</v>
      </c>
    </row>
    <row r="10" spans="1:2" x14ac:dyDescent="0.2">
      <c r="A10" s="6" t="s">
        <v>2542</v>
      </c>
      <c r="B10" s="7">
        <v>233</v>
      </c>
    </row>
    <row r="11" spans="1:2" x14ac:dyDescent="0.2">
      <c r="A11" s="6" t="s">
        <v>2519</v>
      </c>
      <c r="B11" s="7">
        <v>2400</v>
      </c>
    </row>
    <row r="20" spans="5:9" x14ac:dyDescent="0.2">
      <c r="E20" t="s">
        <v>2521</v>
      </c>
      <c r="F20" t="s">
        <v>2520</v>
      </c>
      <c r="G20" t="s">
        <v>2522</v>
      </c>
      <c r="H20" t="s">
        <v>2528</v>
      </c>
      <c r="I20" t="s">
        <v>2529</v>
      </c>
    </row>
    <row r="21" spans="5:9" x14ac:dyDescent="0.2">
      <c r="E21" s="7">
        <v>2400</v>
      </c>
      <c r="F21" s="7">
        <v>649019.80000000144</v>
      </c>
      <c r="G21" s="7">
        <v>11997</v>
      </c>
      <c r="H21" s="7">
        <v>3.9620833333333332</v>
      </c>
      <c r="I21" s="7">
        <v>2.3424999999999998</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5"/>
  <sheetViews>
    <sheetView workbookViewId="0">
      <selection activeCell="M6" sqref="M6"/>
    </sheetView>
  </sheetViews>
  <sheetFormatPr defaultRowHeight="14.25" x14ac:dyDescent="0.2"/>
  <cols>
    <col min="1" max="1" width="19.625" customWidth="1"/>
    <col min="2" max="2" width="16.125" bestFit="1" customWidth="1"/>
    <col min="3" max="3" width="5.125" bestFit="1" customWidth="1"/>
    <col min="4" max="4" width="6" bestFit="1" customWidth="1"/>
    <col min="5" max="5" width="9.125" bestFit="1" customWidth="1"/>
    <col min="6" max="6" width="11.375" bestFit="1" customWidth="1"/>
    <col min="12" max="12" width="13.125" customWidth="1"/>
    <col min="13" max="13" width="15" customWidth="1"/>
    <col min="14" max="14" width="5.125" customWidth="1"/>
    <col min="15" max="15" width="6" customWidth="1"/>
    <col min="16" max="16" width="9.125" bestFit="1" customWidth="1"/>
    <col min="17" max="17" width="11.375" bestFit="1" customWidth="1"/>
  </cols>
  <sheetData>
    <row r="3" spans="1:13" x14ac:dyDescent="0.2">
      <c r="A3" s="5" t="s">
        <v>2522</v>
      </c>
      <c r="B3" s="5" t="s">
        <v>2530</v>
      </c>
    </row>
    <row r="4" spans="1:13" x14ac:dyDescent="0.2">
      <c r="A4" s="5" t="s">
        <v>2518</v>
      </c>
      <c r="B4" t="s">
        <v>2531</v>
      </c>
      <c r="C4" t="s">
        <v>2532</v>
      </c>
      <c r="D4" t="s">
        <v>2533</v>
      </c>
      <c r="E4" t="s">
        <v>2534</v>
      </c>
      <c r="F4" t="s">
        <v>2519</v>
      </c>
      <c r="L4" s="5" t="s">
        <v>2518</v>
      </c>
      <c r="M4" t="s">
        <v>2522</v>
      </c>
    </row>
    <row r="5" spans="1:13" x14ac:dyDescent="0.2">
      <c r="A5" s="6" t="s">
        <v>44</v>
      </c>
      <c r="B5" s="7">
        <v>744</v>
      </c>
      <c r="C5" s="7">
        <v>713</v>
      </c>
      <c r="D5" s="7">
        <v>90</v>
      </c>
      <c r="E5" s="7">
        <v>98</v>
      </c>
      <c r="F5" s="7">
        <v>1645</v>
      </c>
      <c r="L5" s="6" t="s">
        <v>2531</v>
      </c>
      <c r="M5" s="7">
        <v>6272</v>
      </c>
    </row>
    <row r="6" spans="1:13" x14ac:dyDescent="0.2">
      <c r="A6" s="6" t="s">
        <v>39</v>
      </c>
      <c r="B6" s="7">
        <v>716</v>
      </c>
      <c r="C6" s="7">
        <v>598</v>
      </c>
      <c r="D6" s="7">
        <v>18</v>
      </c>
      <c r="E6" s="7">
        <v>214</v>
      </c>
      <c r="F6" s="7">
        <v>1546</v>
      </c>
      <c r="L6" s="6" t="s">
        <v>2532</v>
      </c>
      <c r="M6" s="7">
        <v>4672</v>
      </c>
    </row>
    <row r="7" spans="1:13" x14ac:dyDescent="0.2">
      <c r="A7" s="6" t="s">
        <v>26</v>
      </c>
      <c r="B7" s="7">
        <v>627</v>
      </c>
      <c r="C7" s="7">
        <v>393</v>
      </c>
      <c r="D7" s="7">
        <v>29</v>
      </c>
      <c r="E7" s="7">
        <v>137</v>
      </c>
      <c r="F7" s="7">
        <v>1186</v>
      </c>
      <c r="L7" s="6" t="s">
        <v>2533</v>
      </c>
      <c r="M7" s="7">
        <v>317</v>
      </c>
    </row>
    <row r="8" spans="1:13" x14ac:dyDescent="0.2">
      <c r="A8" s="6" t="s">
        <v>22</v>
      </c>
      <c r="B8" s="7">
        <v>568</v>
      </c>
      <c r="C8" s="7">
        <v>306</v>
      </c>
      <c r="D8" s="7">
        <v>22</v>
      </c>
      <c r="E8" s="7">
        <v>16</v>
      </c>
      <c r="F8" s="7">
        <v>912</v>
      </c>
      <c r="L8" s="6" t="s">
        <v>2534</v>
      </c>
      <c r="M8" s="7">
        <v>736</v>
      </c>
    </row>
    <row r="9" spans="1:13" x14ac:dyDescent="0.2">
      <c r="A9" s="6" t="s">
        <v>54</v>
      </c>
      <c r="B9" s="7">
        <v>482</v>
      </c>
      <c r="C9" s="7">
        <v>295</v>
      </c>
      <c r="D9" s="7">
        <v>8</v>
      </c>
      <c r="E9" s="7">
        <v>22</v>
      </c>
      <c r="F9" s="7">
        <v>807</v>
      </c>
      <c r="L9" s="6" t="s">
        <v>2519</v>
      </c>
      <c r="M9" s="7">
        <v>11997</v>
      </c>
    </row>
    <row r="10" spans="1:13" x14ac:dyDescent="0.2">
      <c r="A10" s="6" t="s">
        <v>16</v>
      </c>
      <c r="B10" s="7">
        <v>428</v>
      </c>
      <c r="C10" s="7">
        <v>293</v>
      </c>
      <c r="D10" s="7"/>
      <c r="E10" s="7">
        <v>24</v>
      </c>
      <c r="F10" s="7">
        <v>745</v>
      </c>
    </row>
    <row r="11" spans="1:13" x14ac:dyDescent="0.2">
      <c r="A11" s="6" t="s">
        <v>46</v>
      </c>
      <c r="B11" s="7">
        <v>445</v>
      </c>
      <c r="C11" s="7">
        <v>202</v>
      </c>
      <c r="D11" s="7">
        <v>14</v>
      </c>
      <c r="E11" s="7">
        <v>39</v>
      </c>
      <c r="F11" s="7">
        <v>700</v>
      </c>
    </row>
    <row r="12" spans="1:13" x14ac:dyDescent="0.2">
      <c r="A12" s="6" t="s">
        <v>32</v>
      </c>
      <c r="B12" s="7">
        <v>431</v>
      </c>
      <c r="C12" s="7">
        <v>187</v>
      </c>
      <c r="D12" s="7">
        <v>14</v>
      </c>
      <c r="E12" s="7">
        <v>15</v>
      </c>
      <c r="F12" s="7">
        <v>647</v>
      </c>
    </row>
    <row r="13" spans="1:13" x14ac:dyDescent="0.2">
      <c r="A13" s="6" t="s">
        <v>42</v>
      </c>
      <c r="B13" s="7">
        <v>264</v>
      </c>
      <c r="C13" s="7">
        <v>318</v>
      </c>
      <c r="D13" s="7">
        <v>15</v>
      </c>
      <c r="E13" s="7">
        <v>9</v>
      </c>
      <c r="F13" s="7">
        <v>606</v>
      </c>
    </row>
    <row r="14" spans="1:13" x14ac:dyDescent="0.2">
      <c r="A14" s="6" t="s">
        <v>37</v>
      </c>
      <c r="B14" s="7">
        <v>296</v>
      </c>
      <c r="C14" s="7">
        <v>275</v>
      </c>
      <c r="D14" s="7">
        <v>9</v>
      </c>
      <c r="E14" s="7">
        <v>23</v>
      </c>
      <c r="F14" s="7">
        <v>603</v>
      </c>
    </row>
    <row r="15" spans="1:13" x14ac:dyDescent="0.2">
      <c r="A15" s="6" t="s">
        <v>123</v>
      </c>
      <c r="B15" s="7">
        <v>153</v>
      </c>
      <c r="C15" s="7">
        <v>246</v>
      </c>
      <c r="D15" s="7">
        <v>30</v>
      </c>
      <c r="E15" s="7">
        <v>8</v>
      </c>
      <c r="F15" s="7">
        <v>437</v>
      </c>
    </row>
    <row r="16" spans="1:13" x14ac:dyDescent="0.2">
      <c r="A16" s="6" t="s">
        <v>146</v>
      </c>
      <c r="B16" s="7">
        <v>189</v>
      </c>
      <c r="C16" s="7">
        <v>168</v>
      </c>
      <c r="D16" s="7">
        <v>10</v>
      </c>
      <c r="E16" s="7">
        <v>31</v>
      </c>
      <c r="F16" s="7">
        <v>398</v>
      </c>
    </row>
    <row r="17" spans="1:6" x14ac:dyDescent="0.2">
      <c r="A17" s="6" t="s">
        <v>69</v>
      </c>
      <c r="B17" s="7">
        <v>234</v>
      </c>
      <c r="C17" s="7">
        <v>93</v>
      </c>
      <c r="D17" s="7">
        <v>19</v>
      </c>
      <c r="E17" s="7">
        <v>24</v>
      </c>
      <c r="F17" s="7">
        <v>370</v>
      </c>
    </row>
    <row r="18" spans="1:6" x14ac:dyDescent="0.2">
      <c r="A18" s="6" t="s">
        <v>30</v>
      </c>
      <c r="B18" s="7">
        <v>146</v>
      </c>
      <c r="C18" s="7">
        <v>94</v>
      </c>
      <c r="D18" s="7">
        <v>4</v>
      </c>
      <c r="E18" s="7">
        <v>28</v>
      </c>
      <c r="F18" s="7">
        <v>272</v>
      </c>
    </row>
    <row r="19" spans="1:6" x14ac:dyDescent="0.2">
      <c r="A19" s="6" t="s">
        <v>135</v>
      </c>
      <c r="B19" s="7">
        <v>127</v>
      </c>
      <c r="C19" s="7">
        <v>118</v>
      </c>
      <c r="D19" s="7">
        <v>13</v>
      </c>
      <c r="E19" s="7">
        <v>12</v>
      </c>
      <c r="F19" s="7">
        <v>270</v>
      </c>
    </row>
    <row r="20" spans="1:6" x14ac:dyDescent="0.2">
      <c r="A20" s="6" t="s">
        <v>67</v>
      </c>
      <c r="B20" s="7">
        <v>179</v>
      </c>
      <c r="C20" s="7">
        <v>76</v>
      </c>
      <c r="D20" s="7">
        <v>3</v>
      </c>
      <c r="E20" s="7"/>
      <c r="F20" s="7">
        <v>258</v>
      </c>
    </row>
    <row r="21" spans="1:6" x14ac:dyDescent="0.2">
      <c r="A21" s="6" t="s">
        <v>128</v>
      </c>
      <c r="B21" s="7">
        <v>99</v>
      </c>
      <c r="C21" s="7">
        <v>69</v>
      </c>
      <c r="D21" s="7">
        <v>3</v>
      </c>
      <c r="E21" s="7">
        <v>24</v>
      </c>
      <c r="F21" s="7">
        <v>195</v>
      </c>
    </row>
    <row r="22" spans="1:6" x14ac:dyDescent="0.2">
      <c r="A22" s="6" t="s">
        <v>76</v>
      </c>
      <c r="B22" s="7">
        <v>75</v>
      </c>
      <c r="C22" s="7">
        <v>103</v>
      </c>
      <c r="D22" s="7">
        <v>4</v>
      </c>
      <c r="E22" s="7">
        <v>6</v>
      </c>
      <c r="F22" s="7">
        <v>188</v>
      </c>
    </row>
    <row r="23" spans="1:6" x14ac:dyDescent="0.2">
      <c r="A23" s="6" t="s">
        <v>81</v>
      </c>
      <c r="B23" s="7">
        <v>43</v>
      </c>
      <c r="C23" s="7">
        <v>90</v>
      </c>
      <c r="D23" s="7">
        <v>8</v>
      </c>
      <c r="E23" s="7">
        <v>6</v>
      </c>
      <c r="F23" s="7">
        <v>147</v>
      </c>
    </row>
    <row r="24" spans="1:6" x14ac:dyDescent="0.2">
      <c r="A24" s="6" t="s">
        <v>171</v>
      </c>
      <c r="B24" s="7">
        <v>26</v>
      </c>
      <c r="C24" s="7">
        <v>35</v>
      </c>
      <c r="D24" s="7">
        <v>4</v>
      </c>
      <c r="E24" s="7"/>
      <c r="F24" s="7">
        <v>65</v>
      </c>
    </row>
    <row r="25" spans="1:6" x14ac:dyDescent="0.2">
      <c r="A25" s="6" t="s">
        <v>2519</v>
      </c>
      <c r="B25" s="7">
        <v>6272</v>
      </c>
      <c r="C25" s="7">
        <v>4672</v>
      </c>
      <c r="D25" s="7">
        <v>317</v>
      </c>
      <c r="E25" s="7">
        <v>736</v>
      </c>
      <c r="F25" s="7">
        <v>11997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61"/>
  <sheetViews>
    <sheetView zoomScale="64" workbookViewId="0">
      <selection activeCell="A7" sqref="A7"/>
    </sheetView>
  </sheetViews>
  <sheetFormatPr defaultRowHeight="14.25" x14ac:dyDescent="0.2"/>
  <cols>
    <col min="1" max="1" width="24.875" bestFit="1" customWidth="1"/>
    <col min="2" max="2" width="21" customWidth="1"/>
    <col min="3" max="3" width="17.875" bestFit="1" customWidth="1"/>
    <col min="4" max="4" width="17.5" bestFit="1" customWidth="1"/>
    <col min="7" max="7" width="20.875" bestFit="1" customWidth="1"/>
    <col min="11" max="11" width="20.875" bestFit="1" customWidth="1"/>
  </cols>
  <sheetData>
    <row r="2" spans="1:12" x14ac:dyDescent="0.2">
      <c r="F2" t="s">
        <v>2543</v>
      </c>
      <c r="J2" t="s">
        <v>2544</v>
      </c>
    </row>
    <row r="3" spans="1:12" x14ac:dyDescent="0.2">
      <c r="A3" s="5" t="s">
        <v>10</v>
      </c>
      <c r="B3" s="5" t="s">
        <v>11</v>
      </c>
      <c r="C3" t="s">
        <v>2522</v>
      </c>
      <c r="D3" t="s">
        <v>2520</v>
      </c>
      <c r="F3" t="s">
        <v>10</v>
      </c>
      <c r="J3" t="s">
        <v>10</v>
      </c>
    </row>
    <row r="4" spans="1:12" x14ac:dyDescent="0.2">
      <c r="A4" t="s">
        <v>19</v>
      </c>
      <c r="B4" t="s">
        <v>115</v>
      </c>
      <c r="C4" s="7">
        <v>579</v>
      </c>
      <c r="D4" s="7">
        <v>31884.999999999996</v>
      </c>
      <c r="F4" t="str">
        <f>A4</f>
        <v>California</v>
      </c>
      <c r="G4" t="str">
        <f t="shared" ref="G4:H19" si="0">B4</f>
        <v>Alameda County</v>
      </c>
      <c r="H4">
        <f t="shared" si="0"/>
        <v>579</v>
      </c>
      <c r="J4" t="str">
        <f>A4</f>
        <v>California</v>
      </c>
      <c r="K4" t="str">
        <f>B4</f>
        <v>Alameda County</v>
      </c>
      <c r="L4">
        <f>D4</f>
        <v>31884.999999999996</v>
      </c>
    </row>
    <row r="5" spans="1:12" x14ac:dyDescent="0.2">
      <c r="A5" t="s">
        <v>19</v>
      </c>
      <c r="B5" t="s">
        <v>20</v>
      </c>
      <c r="C5" s="7">
        <v>1</v>
      </c>
      <c r="D5" s="7">
        <v>10.9</v>
      </c>
      <c r="F5" t="str">
        <f t="shared" ref="F5:F61" si="1">A5</f>
        <v>California</v>
      </c>
      <c r="G5" t="str">
        <f t="shared" si="0"/>
        <v>Alpine County</v>
      </c>
      <c r="H5">
        <f t="shared" si="0"/>
        <v>1</v>
      </c>
      <c r="J5" t="str">
        <f t="shared" ref="J5:K61" si="2">A5</f>
        <v>California</v>
      </c>
      <c r="K5" t="str">
        <f t="shared" si="2"/>
        <v>Alpine County</v>
      </c>
      <c r="L5">
        <f t="shared" ref="L5:L61" si="3">D5</f>
        <v>10.9</v>
      </c>
    </row>
    <row r="6" spans="1:12" x14ac:dyDescent="0.2">
      <c r="A6" t="s">
        <v>19</v>
      </c>
      <c r="B6" t="s">
        <v>641</v>
      </c>
      <c r="C6" s="7">
        <v>9</v>
      </c>
      <c r="D6" s="7">
        <v>800.3</v>
      </c>
      <c r="F6" t="str">
        <f t="shared" si="1"/>
        <v>California</v>
      </c>
      <c r="G6" t="str">
        <f t="shared" si="0"/>
        <v>Amador County</v>
      </c>
      <c r="H6">
        <f t="shared" si="0"/>
        <v>9</v>
      </c>
      <c r="J6" t="str">
        <f t="shared" si="2"/>
        <v>California</v>
      </c>
      <c r="K6" t="str">
        <f t="shared" si="2"/>
        <v>Amador County</v>
      </c>
      <c r="L6">
        <f t="shared" si="3"/>
        <v>800.3</v>
      </c>
    </row>
    <row r="7" spans="1:12" x14ac:dyDescent="0.2">
      <c r="A7" t="s">
        <v>19</v>
      </c>
      <c r="B7" t="s">
        <v>967</v>
      </c>
      <c r="C7" s="7">
        <v>35</v>
      </c>
      <c r="D7" s="7">
        <v>1062.5999999999999</v>
      </c>
      <c r="F7" t="str">
        <f t="shared" si="1"/>
        <v>California</v>
      </c>
      <c r="G7" t="str">
        <f t="shared" si="0"/>
        <v>Butte County</v>
      </c>
      <c r="H7">
        <f t="shared" si="0"/>
        <v>35</v>
      </c>
      <c r="J7" t="str">
        <f t="shared" si="2"/>
        <v>California</v>
      </c>
      <c r="K7" t="str">
        <f t="shared" si="2"/>
        <v>Butte County</v>
      </c>
      <c r="L7">
        <f t="shared" si="3"/>
        <v>1062.5999999999999</v>
      </c>
    </row>
    <row r="8" spans="1:12" x14ac:dyDescent="0.2">
      <c r="A8" t="s">
        <v>19</v>
      </c>
      <c r="B8" t="s">
        <v>84</v>
      </c>
      <c r="C8" s="7">
        <v>12</v>
      </c>
      <c r="D8" s="7">
        <v>326.20000000000005</v>
      </c>
      <c r="F8" t="str">
        <f t="shared" si="1"/>
        <v>California</v>
      </c>
      <c r="G8" t="str">
        <f t="shared" si="0"/>
        <v>Calaveras County</v>
      </c>
      <c r="H8">
        <f t="shared" si="0"/>
        <v>12</v>
      </c>
      <c r="J8" t="str">
        <f t="shared" si="2"/>
        <v>California</v>
      </c>
      <c r="K8" t="str">
        <f t="shared" si="2"/>
        <v>Calaveras County</v>
      </c>
      <c r="L8">
        <f t="shared" si="3"/>
        <v>326.20000000000005</v>
      </c>
    </row>
    <row r="9" spans="1:12" x14ac:dyDescent="0.2">
      <c r="A9" t="s">
        <v>19</v>
      </c>
      <c r="B9" t="s">
        <v>1383</v>
      </c>
      <c r="C9" s="7">
        <v>4</v>
      </c>
      <c r="D9" s="7">
        <v>167.5</v>
      </c>
      <c r="F9" t="str">
        <f t="shared" si="1"/>
        <v>California</v>
      </c>
      <c r="G9" t="str">
        <f t="shared" si="0"/>
        <v>Colusa County</v>
      </c>
      <c r="H9">
        <f t="shared" si="0"/>
        <v>4</v>
      </c>
      <c r="J9" t="str">
        <f t="shared" si="2"/>
        <v>California</v>
      </c>
      <c r="K9" t="str">
        <f t="shared" si="2"/>
        <v>Colusa County</v>
      </c>
      <c r="L9">
        <f t="shared" si="3"/>
        <v>167.5</v>
      </c>
    </row>
    <row r="10" spans="1:12" x14ac:dyDescent="0.2">
      <c r="A10" t="s">
        <v>19</v>
      </c>
      <c r="B10" t="s">
        <v>24</v>
      </c>
      <c r="C10" s="7">
        <v>341</v>
      </c>
      <c r="D10" s="7">
        <v>16168.7</v>
      </c>
      <c r="F10" t="str">
        <f t="shared" si="1"/>
        <v>California</v>
      </c>
      <c r="G10" t="str">
        <f t="shared" si="0"/>
        <v>Contra Costa County</v>
      </c>
      <c r="H10">
        <f t="shared" si="0"/>
        <v>341</v>
      </c>
      <c r="J10" t="str">
        <f t="shared" si="2"/>
        <v>California</v>
      </c>
      <c r="K10" t="str">
        <f t="shared" si="2"/>
        <v>Contra Costa County</v>
      </c>
      <c r="L10">
        <f t="shared" si="3"/>
        <v>16168.7</v>
      </c>
    </row>
    <row r="11" spans="1:12" x14ac:dyDescent="0.2">
      <c r="A11" t="s">
        <v>19</v>
      </c>
      <c r="B11" t="s">
        <v>2204</v>
      </c>
      <c r="C11" s="7">
        <v>13</v>
      </c>
      <c r="D11" s="7">
        <v>322.40000000000003</v>
      </c>
      <c r="F11" t="str">
        <f t="shared" si="1"/>
        <v>California</v>
      </c>
      <c r="G11" t="str">
        <f t="shared" si="0"/>
        <v>Del Norte County</v>
      </c>
      <c r="H11">
        <f t="shared" si="0"/>
        <v>13</v>
      </c>
      <c r="J11" t="str">
        <f t="shared" si="2"/>
        <v>California</v>
      </c>
      <c r="K11" t="str">
        <f t="shared" si="2"/>
        <v>Del Norte County</v>
      </c>
      <c r="L11">
        <f t="shared" si="3"/>
        <v>322.40000000000003</v>
      </c>
    </row>
    <row r="12" spans="1:12" x14ac:dyDescent="0.2">
      <c r="A12" t="s">
        <v>19</v>
      </c>
      <c r="B12" t="s">
        <v>437</v>
      </c>
      <c r="C12" s="7">
        <v>31</v>
      </c>
      <c r="D12" s="7">
        <v>2092.8000000000002</v>
      </c>
      <c r="F12" t="str">
        <f t="shared" si="1"/>
        <v>California</v>
      </c>
      <c r="G12" t="str">
        <f t="shared" si="0"/>
        <v>El Dorado County</v>
      </c>
      <c r="H12">
        <f t="shared" si="0"/>
        <v>31</v>
      </c>
      <c r="J12" t="str">
        <f t="shared" si="2"/>
        <v>California</v>
      </c>
      <c r="K12" t="str">
        <f t="shared" si="2"/>
        <v>El Dorado County</v>
      </c>
      <c r="L12">
        <f t="shared" si="3"/>
        <v>2092.8000000000002</v>
      </c>
    </row>
    <row r="13" spans="1:12" x14ac:dyDescent="0.2">
      <c r="A13" t="s">
        <v>19</v>
      </c>
      <c r="B13" t="s">
        <v>28</v>
      </c>
      <c r="C13" s="7">
        <v>279</v>
      </c>
      <c r="D13" s="7">
        <v>12662.500000000002</v>
      </c>
      <c r="F13" t="str">
        <f t="shared" si="1"/>
        <v>California</v>
      </c>
      <c r="G13" t="str">
        <f t="shared" si="0"/>
        <v>Fresno County</v>
      </c>
      <c r="H13">
        <f t="shared" si="0"/>
        <v>279</v>
      </c>
      <c r="J13" t="str">
        <f t="shared" si="2"/>
        <v>California</v>
      </c>
      <c r="K13" t="str">
        <f t="shared" si="2"/>
        <v>Fresno County</v>
      </c>
      <c r="L13">
        <f t="shared" si="3"/>
        <v>12662.500000000002</v>
      </c>
    </row>
    <row r="14" spans="1:12" x14ac:dyDescent="0.2">
      <c r="A14" t="s">
        <v>19</v>
      </c>
      <c r="B14" t="s">
        <v>208</v>
      </c>
      <c r="C14" s="7">
        <v>9</v>
      </c>
      <c r="D14" s="7">
        <v>343.2</v>
      </c>
      <c r="F14" t="str">
        <f t="shared" si="1"/>
        <v>California</v>
      </c>
      <c r="G14" t="str">
        <f t="shared" si="0"/>
        <v>Glenn County</v>
      </c>
      <c r="H14">
        <f t="shared" si="0"/>
        <v>9</v>
      </c>
      <c r="J14" t="str">
        <f t="shared" si="2"/>
        <v>California</v>
      </c>
      <c r="K14" t="str">
        <f t="shared" si="2"/>
        <v>Glenn County</v>
      </c>
      <c r="L14">
        <f t="shared" si="3"/>
        <v>343.2</v>
      </c>
    </row>
    <row r="15" spans="1:12" x14ac:dyDescent="0.2">
      <c r="A15" t="s">
        <v>19</v>
      </c>
      <c r="B15" t="s">
        <v>587</v>
      </c>
      <c r="C15" s="7">
        <v>49</v>
      </c>
      <c r="D15" s="7">
        <v>2188.2999999999997</v>
      </c>
      <c r="F15" t="str">
        <f t="shared" si="1"/>
        <v>California</v>
      </c>
      <c r="G15" t="str">
        <f t="shared" si="0"/>
        <v>Humboldt County</v>
      </c>
      <c r="H15">
        <f t="shared" si="0"/>
        <v>49</v>
      </c>
      <c r="J15" t="str">
        <f t="shared" si="2"/>
        <v>California</v>
      </c>
      <c r="K15" t="str">
        <f t="shared" si="2"/>
        <v>Humboldt County</v>
      </c>
      <c r="L15">
        <f t="shared" si="3"/>
        <v>2188.2999999999997</v>
      </c>
    </row>
    <row r="16" spans="1:12" x14ac:dyDescent="0.2">
      <c r="A16" t="s">
        <v>19</v>
      </c>
      <c r="B16" t="s">
        <v>331</v>
      </c>
      <c r="C16" s="7">
        <v>59</v>
      </c>
      <c r="D16" s="7">
        <v>2661.5999999999995</v>
      </c>
      <c r="F16" t="str">
        <f t="shared" si="1"/>
        <v>California</v>
      </c>
      <c r="G16" t="str">
        <f t="shared" si="0"/>
        <v>Imperial County</v>
      </c>
      <c r="H16">
        <f t="shared" si="0"/>
        <v>59</v>
      </c>
      <c r="J16" t="str">
        <f t="shared" si="2"/>
        <v>California</v>
      </c>
      <c r="K16" t="str">
        <f t="shared" si="2"/>
        <v>Imperial County</v>
      </c>
      <c r="L16">
        <f t="shared" si="3"/>
        <v>2661.5999999999995</v>
      </c>
    </row>
    <row r="17" spans="1:12" x14ac:dyDescent="0.2">
      <c r="A17" t="s">
        <v>19</v>
      </c>
      <c r="B17" t="s">
        <v>86</v>
      </c>
      <c r="C17" s="7">
        <v>8</v>
      </c>
      <c r="D17" s="7">
        <v>887.5</v>
      </c>
      <c r="F17" t="str">
        <f t="shared" si="1"/>
        <v>California</v>
      </c>
      <c r="G17" t="str">
        <f t="shared" si="0"/>
        <v>Inyo County</v>
      </c>
      <c r="H17">
        <f t="shared" si="0"/>
        <v>8</v>
      </c>
      <c r="J17" t="str">
        <f t="shared" si="2"/>
        <v>California</v>
      </c>
      <c r="K17" t="str">
        <f t="shared" si="2"/>
        <v>Inyo County</v>
      </c>
      <c r="L17">
        <f t="shared" si="3"/>
        <v>887.5</v>
      </c>
    </row>
    <row r="18" spans="1:12" x14ac:dyDescent="0.2">
      <c r="A18" t="s">
        <v>19</v>
      </c>
      <c r="B18" t="s">
        <v>147</v>
      </c>
      <c r="C18" s="7">
        <v>222</v>
      </c>
      <c r="D18" s="7">
        <v>11354.199999999993</v>
      </c>
      <c r="F18" t="str">
        <f t="shared" si="1"/>
        <v>California</v>
      </c>
      <c r="G18" t="str">
        <f t="shared" si="0"/>
        <v>Kern County</v>
      </c>
      <c r="H18">
        <f t="shared" si="0"/>
        <v>222</v>
      </c>
      <c r="J18" t="str">
        <f t="shared" si="2"/>
        <v>California</v>
      </c>
      <c r="K18" t="str">
        <f t="shared" si="2"/>
        <v>Kern County</v>
      </c>
      <c r="L18">
        <f t="shared" si="3"/>
        <v>11354.199999999993</v>
      </c>
    </row>
    <row r="19" spans="1:12" x14ac:dyDescent="0.2">
      <c r="A19" t="s">
        <v>19</v>
      </c>
      <c r="B19" t="s">
        <v>334</v>
      </c>
      <c r="C19" s="7">
        <v>36</v>
      </c>
      <c r="D19" s="7">
        <v>1558.4</v>
      </c>
      <c r="F19" t="str">
        <f t="shared" si="1"/>
        <v>California</v>
      </c>
      <c r="G19" t="str">
        <f t="shared" si="0"/>
        <v>Kings County</v>
      </c>
      <c r="H19">
        <f t="shared" si="0"/>
        <v>36</v>
      </c>
      <c r="J19" t="str">
        <f t="shared" si="2"/>
        <v>California</v>
      </c>
      <c r="K19" t="str">
        <f t="shared" si="2"/>
        <v>Kings County</v>
      </c>
      <c r="L19">
        <f t="shared" si="3"/>
        <v>1558.4</v>
      </c>
    </row>
    <row r="20" spans="1:12" x14ac:dyDescent="0.2">
      <c r="A20" t="s">
        <v>19</v>
      </c>
      <c r="B20" t="s">
        <v>949</v>
      </c>
      <c r="C20" s="7">
        <v>30</v>
      </c>
      <c r="D20" s="7">
        <v>2223.9</v>
      </c>
      <c r="F20" t="str">
        <f t="shared" si="1"/>
        <v>California</v>
      </c>
      <c r="G20" t="str">
        <f t="shared" ref="G20:G61" si="4">B20</f>
        <v>Lake County</v>
      </c>
      <c r="H20">
        <f t="shared" ref="H20:H61" si="5">C20</f>
        <v>30</v>
      </c>
      <c r="J20" t="str">
        <f t="shared" si="2"/>
        <v>California</v>
      </c>
      <c r="K20" t="str">
        <f t="shared" si="2"/>
        <v>Lake County</v>
      </c>
      <c r="L20">
        <f t="shared" si="3"/>
        <v>2223.9</v>
      </c>
    </row>
    <row r="21" spans="1:12" x14ac:dyDescent="0.2">
      <c r="A21" t="s">
        <v>19</v>
      </c>
      <c r="B21" t="s">
        <v>1426</v>
      </c>
      <c r="C21" s="7">
        <v>1</v>
      </c>
      <c r="D21" s="7">
        <v>26.2</v>
      </c>
      <c r="F21" t="str">
        <f t="shared" si="1"/>
        <v>California</v>
      </c>
      <c r="G21" t="str">
        <f t="shared" si="4"/>
        <v>Lassen County</v>
      </c>
      <c r="H21">
        <f t="shared" si="5"/>
        <v>1</v>
      </c>
      <c r="J21" t="str">
        <f t="shared" si="2"/>
        <v>California</v>
      </c>
      <c r="K21" t="str">
        <f t="shared" si="2"/>
        <v>Lassen County</v>
      </c>
      <c r="L21">
        <f t="shared" si="3"/>
        <v>26.2</v>
      </c>
    </row>
    <row r="22" spans="1:12" x14ac:dyDescent="0.2">
      <c r="A22" t="s">
        <v>19</v>
      </c>
      <c r="B22" t="s">
        <v>33</v>
      </c>
      <c r="C22" s="7">
        <v>3991</v>
      </c>
      <c r="D22" s="7">
        <v>215551.19999999981</v>
      </c>
      <c r="F22" t="str">
        <f t="shared" si="1"/>
        <v>California</v>
      </c>
      <c r="G22" t="str">
        <f t="shared" si="4"/>
        <v>Los Angeles County</v>
      </c>
      <c r="H22">
        <f t="shared" si="5"/>
        <v>3991</v>
      </c>
      <c r="J22" t="str">
        <f t="shared" si="2"/>
        <v>California</v>
      </c>
      <c r="K22" t="str">
        <f t="shared" si="2"/>
        <v>Los Angeles County</v>
      </c>
      <c r="L22">
        <f t="shared" si="3"/>
        <v>215551.19999999981</v>
      </c>
    </row>
    <row r="23" spans="1:12" x14ac:dyDescent="0.2">
      <c r="A23" t="s">
        <v>19</v>
      </c>
      <c r="B23" t="s">
        <v>364</v>
      </c>
      <c r="C23" s="7">
        <v>45</v>
      </c>
      <c r="D23" s="7">
        <v>2687.3999999999996</v>
      </c>
      <c r="F23" t="str">
        <f t="shared" si="1"/>
        <v>California</v>
      </c>
      <c r="G23" t="str">
        <f t="shared" si="4"/>
        <v>Madera County</v>
      </c>
      <c r="H23">
        <f t="shared" si="5"/>
        <v>45</v>
      </c>
      <c r="J23" t="str">
        <f t="shared" si="2"/>
        <v>California</v>
      </c>
      <c r="K23" t="str">
        <f t="shared" si="2"/>
        <v>Madera County</v>
      </c>
      <c r="L23">
        <f t="shared" si="3"/>
        <v>2687.3999999999996</v>
      </c>
    </row>
    <row r="24" spans="1:12" x14ac:dyDescent="0.2">
      <c r="A24" t="s">
        <v>19</v>
      </c>
      <c r="B24" t="s">
        <v>545</v>
      </c>
      <c r="C24" s="7">
        <v>39</v>
      </c>
      <c r="D24" s="7">
        <v>1463.3000000000002</v>
      </c>
      <c r="F24" t="str">
        <f t="shared" si="1"/>
        <v>California</v>
      </c>
      <c r="G24" t="str">
        <f t="shared" si="4"/>
        <v>Marin County</v>
      </c>
      <c r="H24">
        <f t="shared" si="5"/>
        <v>39</v>
      </c>
      <c r="J24" t="str">
        <f t="shared" si="2"/>
        <v>California</v>
      </c>
      <c r="K24" t="str">
        <f t="shared" si="2"/>
        <v>Marin County</v>
      </c>
      <c r="L24">
        <f t="shared" si="3"/>
        <v>1463.3000000000002</v>
      </c>
    </row>
    <row r="25" spans="1:12" x14ac:dyDescent="0.2">
      <c r="A25" t="s">
        <v>19</v>
      </c>
      <c r="B25" t="s">
        <v>416</v>
      </c>
      <c r="C25" s="7">
        <v>6</v>
      </c>
      <c r="D25" s="7">
        <v>445.79999999999995</v>
      </c>
      <c r="F25" t="str">
        <f t="shared" si="1"/>
        <v>California</v>
      </c>
      <c r="G25" t="str">
        <f t="shared" si="4"/>
        <v>Mariposa County</v>
      </c>
      <c r="H25">
        <f t="shared" si="5"/>
        <v>6</v>
      </c>
      <c r="J25" t="str">
        <f t="shared" si="2"/>
        <v>California</v>
      </c>
      <c r="K25" t="str">
        <f t="shared" si="2"/>
        <v>Mariposa County</v>
      </c>
      <c r="L25">
        <f t="shared" si="3"/>
        <v>445.79999999999995</v>
      </c>
    </row>
    <row r="26" spans="1:12" x14ac:dyDescent="0.2">
      <c r="A26" t="s">
        <v>19</v>
      </c>
      <c r="B26" t="s">
        <v>258</v>
      </c>
      <c r="C26" s="7">
        <v>9</v>
      </c>
      <c r="D26" s="7">
        <v>273.59999999999997</v>
      </c>
      <c r="F26" t="str">
        <f t="shared" si="1"/>
        <v>California</v>
      </c>
      <c r="G26" t="str">
        <f t="shared" si="4"/>
        <v>Mendocino County</v>
      </c>
      <c r="H26">
        <f t="shared" si="5"/>
        <v>9</v>
      </c>
      <c r="J26" t="str">
        <f t="shared" si="2"/>
        <v>California</v>
      </c>
      <c r="K26" t="str">
        <f t="shared" si="2"/>
        <v>Mendocino County</v>
      </c>
      <c r="L26">
        <f t="shared" si="3"/>
        <v>273.59999999999997</v>
      </c>
    </row>
    <row r="27" spans="1:12" x14ac:dyDescent="0.2">
      <c r="A27" t="s">
        <v>19</v>
      </c>
      <c r="B27" t="s">
        <v>186</v>
      </c>
      <c r="C27" s="7">
        <v>60</v>
      </c>
      <c r="D27" s="7">
        <v>2690.4</v>
      </c>
      <c r="F27" t="str">
        <f t="shared" si="1"/>
        <v>California</v>
      </c>
      <c r="G27" t="str">
        <f t="shared" si="4"/>
        <v>Merced County</v>
      </c>
      <c r="H27">
        <f t="shared" si="5"/>
        <v>60</v>
      </c>
      <c r="J27" t="str">
        <f t="shared" si="2"/>
        <v>California</v>
      </c>
      <c r="K27" t="str">
        <f t="shared" si="2"/>
        <v>Merced County</v>
      </c>
      <c r="L27">
        <f t="shared" si="3"/>
        <v>2690.4</v>
      </c>
    </row>
    <row r="28" spans="1:12" x14ac:dyDescent="0.2">
      <c r="A28" t="s">
        <v>19</v>
      </c>
      <c r="B28" t="s">
        <v>392</v>
      </c>
      <c r="C28" s="7">
        <v>2</v>
      </c>
      <c r="D28" s="7">
        <v>28.4</v>
      </c>
      <c r="F28" t="str">
        <f t="shared" si="1"/>
        <v>California</v>
      </c>
      <c r="G28" t="str">
        <f t="shared" si="4"/>
        <v>Modoc County</v>
      </c>
      <c r="H28">
        <f t="shared" si="5"/>
        <v>2</v>
      </c>
      <c r="J28" t="str">
        <f t="shared" si="2"/>
        <v>California</v>
      </c>
      <c r="K28" t="str">
        <f t="shared" si="2"/>
        <v>Modoc County</v>
      </c>
      <c r="L28">
        <f t="shared" si="3"/>
        <v>28.4</v>
      </c>
    </row>
    <row r="29" spans="1:12" x14ac:dyDescent="0.2">
      <c r="A29" t="s">
        <v>19</v>
      </c>
      <c r="B29" t="s">
        <v>670</v>
      </c>
      <c r="C29" s="7">
        <v>4</v>
      </c>
      <c r="D29" s="7">
        <v>204.8</v>
      </c>
      <c r="F29" t="str">
        <f t="shared" si="1"/>
        <v>California</v>
      </c>
      <c r="G29" t="str">
        <f t="shared" si="4"/>
        <v>Mono County</v>
      </c>
      <c r="H29">
        <f t="shared" si="5"/>
        <v>4</v>
      </c>
      <c r="J29" t="str">
        <f t="shared" si="2"/>
        <v>California</v>
      </c>
      <c r="K29" t="str">
        <f t="shared" si="2"/>
        <v>Mono County</v>
      </c>
      <c r="L29">
        <f t="shared" si="3"/>
        <v>204.8</v>
      </c>
    </row>
    <row r="30" spans="1:12" x14ac:dyDescent="0.2">
      <c r="A30" t="s">
        <v>19</v>
      </c>
      <c r="B30" t="s">
        <v>802</v>
      </c>
      <c r="C30" s="7">
        <v>31</v>
      </c>
      <c r="D30" s="7">
        <v>1607.8999999999999</v>
      </c>
      <c r="F30" t="str">
        <f t="shared" si="1"/>
        <v>California</v>
      </c>
      <c r="G30" t="str">
        <f t="shared" si="4"/>
        <v>Monterey County</v>
      </c>
      <c r="H30">
        <f t="shared" si="5"/>
        <v>31</v>
      </c>
      <c r="J30" t="str">
        <f t="shared" si="2"/>
        <v>California</v>
      </c>
      <c r="K30" t="str">
        <f t="shared" si="2"/>
        <v>Monterey County</v>
      </c>
      <c r="L30">
        <f t="shared" si="3"/>
        <v>1607.8999999999999</v>
      </c>
    </row>
    <row r="31" spans="1:12" x14ac:dyDescent="0.2">
      <c r="A31" t="s">
        <v>19</v>
      </c>
      <c r="B31" t="s">
        <v>98</v>
      </c>
      <c r="C31" s="7">
        <v>88</v>
      </c>
      <c r="D31" s="7">
        <v>6444.9</v>
      </c>
      <c r="F31" t="str">
        <f t="shared" si="1"/>
        <v>California</v>
      </c>
      <c r="G31" t="str">
        <f t="shared" si="4"/>
        <v>Napa County</v>
      </c>
      <c r="H31">
        <f t="shared" si="5"/>
        <v>88</v>
      </c>
      <c r="J31" t="str">
        <f t="shared" si="2"/>
        <v>California</v>
      </c>
      <c r="K31" t="str">
        <f t="shared" si="2"/>
        <v>Napa County</v>
      </c>
      <c r="L31">
        <f t="shared" si="3"/>
        <v>6444.9</v>
      </c>
    </row>
    <row r="32" spans="1:12" x14ac:dyDescent="0.2">
      <c r="A32" t="s">
        <v>19</v>
      </c>
      <c r="B32" t="s">
        <v>49</v>
      </c>
      <c r="C32" s="7">
        <v>25</v>
      </c>
      <c r="D32" s="7">
        <v>1809.3</v>
      </c>
      <c r="F32" t="str">
        <f t="shared" si="1"/>
        <v>California</v>
      </c>
      <c r="G32" t="str">
        <f t="shared" si="4"/>
        <v>Nevada County</v>
      </c>
      <c r="H32">
        <f t="shared" si="5"/>
        <v>25</v>
      </c>
      <c r="J32" t="str">
        <f t="shared" si="2"/>
        <v>California</v>
      </c>
      <c r="K32" t="str">
        <f t="shared" si="2"/>
        <v>Nevada County</v>
      </c>
      <c r="L32">
        <f t="shared" si="3"/>
        <v>1809.3</v>
      </c>
    </row>
    <row r="33" spans="1:12" x14ac:dyDescent="0.2">
      <c r="A33" t="s">
        <v>19</v>
      </c>
      <c r="B33" t="s">
        <v>188</v>
      </c>
      <c r="C33" s="7">
        <v>178</v>
      </c>
      <c r="D33" s="7">
        <v>9680.399999999996</v>
      </c>
      <c r="F33" t="str">
        <f t="shared" si="1"/>
        <v>California</v>
      </c>
      <c r="G33" t="str">
        <f t="shared" si="4"/>
        <v>Orange County</v>
      </c>
      <c r="H33">
        <f t="shared" si="5"/>
        <v>178</v>
      </c>
      <c r="J33" t="str">
        <f t="shared" si="2"/>
        <v>California</v>
      </c>
      <c r="K33" t="str">
        <f t="shared" si="2"/>
        <v>Orange County</v>
      </c>
      <c r="L33">
        <f t="shared" si="3"/>
        <v>9680.399999999996</v>
      </c>
    </row>
    <row r="34" spans="1:12" x14ac:dyDescent="0.2">
      <c r="A34" t="s">
        <v>19</v>
      </c>
      <c r="B34" t="s">
        <v>52</v>
      </c>
      <c r="C34" s="7">
        <v>141</v>
      </c>
      <c r="D34" s="7">
        <v>9414.7999999999993</v>
      </c>
      <c r="F34" t="str">
        <f t="shared" si="1"/>
        <v>California</v>
      </c>
      <c r="G34" t="str">
        <f t="shared" si="4"/>
        <v>Placer County</v>
      </c>
      <c r="H34">
        <f t="shared" si="5"/>
        <v>141</v>
      </c>
      <c r="J34" t="str">
        <f t="shared" si="2"/>
        <v>California</v>
      </c>
      <c r="K34" t="str">
        <f t="shared" si="2"/>
        <v>Placer County</v>
      </c>
      <c r="L34">
        <f t="shared" si="3"/>
        <v>9414.7999999999993</v>
      </c>
    </row>
    <row r="35" spans="1:12" x14ac:dyDescent="0.2">
      <c r="A35" t="s">
        <v>19</v>
      </c>
      <c r="B35" t="s">
        <v>338</v>
      </c>
      <c r="C35" s="7">
        <v>6</v>
      </c>
      <c r="D35" s="7">
        <v>206.1</v>
      </c>
      <c r="F35" t="str">
        <f t="shared" si="1"/>
        <v>California</v>
      </c>
      <c r="G35" t="str">
        <f t="shared" si="4"/>
        <v>Plumas County</v>
      </c>
      <c r="H35">
        <f t="shared" si="5"/>
        <v>6</v>
      </c>
      <c r="J35" t="str">
        <f t="shared" si="2"/>
        <v>California</v>
      </c>
      <c r="K35" t="str">
        <f t="shared" si="2"/>
        <v>Plumas County</v>
      </c>
      <c r="L35">
        <f t="shared" si="3"/>
        <v>206.1</v>
      </c>
    </row>
    <row r="36" spans="1:12" x14ac:dyDescent="0.2">
      <c r="A36" t="s">
        <v>19</v>
      </c>
      <c r="B36" t="s">
        <v>158</v>
      </c>
      <c r="C36" s="7">
        <v>178</v>
      </c>
      <c r="D36" s="7">
        <v>7691.3</v>
      </c>
      <c r="F36" t="str">
        <f t="shared" si="1"/>
        <v>California</v>
      </c>
      <c r="G36" t="str">
        <f t="shared" si="4"/>
        <v>Riverside County</v>
      </c>
      <c r="H36">
        <f t="shared" si="5"/>
        <v>178</v>
      </c>
      <c r="J36" t="str">
        <f t="shared" si="2"/>
        <v>California</v>
      </c>
      <c r="K36" t="str">
        <f t="shared" si="2"/>
        <v>Riverside County</v>
      </c>
      <c r="L36">
        <f t="shared" si="3"/>
        <v>7691.3</v>
      </c>
    </row>
    <row r="37" spans="1:12" x14ac:dyDescent="0.2">
      <c r="A37" t="s">
        <v>19</v>
      </c>
      <c r="B37" t="s">
        <v>55</v>
      </c>
      <c r="C37" s="7">
        <v>699</v>
      </c>
      <c r="D37" s="7">
        <v>37784.900000000016</v>
      </c>
      <c r="F37" t="str">
        <f t="shared" si="1"/>
        <v>California</v>
      </c>
      <c r="G37" t="str">
        <f t="shared" si="4"/>
        <v>Sacramento County</v>
      </c>
      <c r="H37">
        <f t="shared" si="5"/>
        <v>699</v>
      </c>
      <c r="J37" t="str">
        <f t="shared" si="2"/>
        <v>California</v>
      </c>
      <c r="K37" t="str">
        <f t="shared" si="2"/>
        <v>Sacramento County</v>
      </c>
      <c r="L37">
        <f t="shared" si="3"/>
        <v>37784.900000000016</v>
      </c>
    </row>
    <row r="38" spans="1:12" x14ac:dyDescent="0.2">
      <c r="A38" t="s">
        <v>19</v>
      </c>
      <c r="B38" t="s">
        <v>342</v>
      </c>
      <c r="C38" s="7">
        <v>23</v>
      </c>
      <c r="D38" s="7">
        <v>1129.7</v>
      </c>
      <c r="F38" t="str">
        <f t="shared" si="1"/>
        <v>California</v>
      </c>
      <c r="G38" t="str">
        <f t="shared" si="4"/>
        <v>San Benito County</v>
      </c>
      <c r="H38">
        <f t="shared" si="5"/>
        <v>23</v>
      </c>
      <c r="J38" t="str">
        <f t="shared" si="2"/>
        <v>California</v>
      </c>
      <c r="K38" t="str">
        <f t="shared" si="2"/>
        <v>San Benito County</v>
      </c>
      <c r="L38">
        <f t="shared" si="3"/>
        <v>1129.7</v>
      </c>
    </row>
    <row r="39" spans="1:12" x14ac:dyDescent="0.2">
      <c r="A39" t="s">
        <v>19</v>
      </c>
      <c r="B39" t="s">
        <v>59</v>
      </c>
      <c r="C39" s="7">
        <v>356</v>
      </c>
      <c r="D39" s="7">
        <v>20988.9</v>
      </c>
      <c r="F39" t="str">
        <f t="shared" si="1"/>
        <v>California</v>
      </c>
      <c r="G39" t="str">
        <f t="shared" si="4"/>
        <v>San Bernardino County</v>
      </c>
      <c r="H39">
        <f t="shared" si="5"/>
        <v>356</v>
      </c>
      <c r="J39" t="str">
        <f t="shared" si="2"/>
        <v>California</v>
      </c>
      <c r="K39" t="str">
        <f t="shared" si="2"/>
        <v>San Bernardino County</v>
      </c>
      <c r="L39">
        <f t="shared" si="3"/>
        <v>20988.9</v>
      </c>
    </row>
    <row r="40" spans="1:12" x14ac:dyDescent="0.2">
      <c r="A40" t="s">
        <v>19</v>
      </c>
      <c r="B40" t="s">
        <v>62</v>
      </c>
      <c r="C40" s="7">
        <v>1768</v>
      </c>
      <c r="D40" s="7">
        <v>98367.099999999977</v>
      </c>
      <c r="F40" t="str">
        <f t="shared" si="1"/>
        <v>California</v>
      </c>
      <c r="G40" t="str">
        <f t="shared" si="4"/>
        <v>San Diego County</v>
      </c>
      <c r="H40">
        <f t="shared" si="5"/>
        <v>1768</v>
      </c>
      <c r="J40" t="str">
        <f t="shared" si="2"/>
        <v>California</v>
      </c>
      <c r="K40" t="str">
        <f t="shared" si="2"/>
        <v>San Diego County</v>
      </c>
      <c r="L40">
        <f t="shared" si="3"/>
        <v>98367.099999999977</v>
      </c>
    </row>
    <row r="41" spans="1:12" x14ac:dyDescent="0.2">
      <c r="A41" t="s">
        <v>19</v>
      </c>
      <c r="B41" t="s">
        <v>103</v>
      </c>
      <c r="C41" s="7">
        <v>307</v>
      </c>
      <c r="D41" s="7">
        <v>21911.9</v>
      </c>
      <c r="F41" t="str">
        <f t="shared" si="1"/>
        <v>California</v>
      </c>
      <c r="G41" t="str">
        <f t="shared" si="4"/>
        <v>San Francisco</v>
      </c>
      <c r="H41">
        <f t="shared" si="5"/>
        <v>307</v>
      </c>
      <c r="J41" t="str">
        <f t="shared" si="2"/>
        <v>California</v>
      </c>
      <c r="K41" t="str">
        <f t="shared" si="2"/>
        <v>San Francisco</v>
      </c>
      <c r="L41">
        <f t="shared" si="3"/>
        <v>21911.9</v>
      </c>
    </row>
    <row r="42" spans="1:12" x14ac:dyDescent="0.2">
      <c r="A42" t="s">
        <v>19</v>
      </c>
      <c r="B42" t="s">
        <v>201</v>
      </c>
      <c r="C42" s="7">
        <v>117</v>
      </c>
      <c r="D42" s="7">
        <v>5441.2</v>
      </c>
      <c r="F42" t="str">
        <f t="shared" si="1"/>
        <v>California</v>
      </c>
      <c r="G42" t="str">
        <f t="shared" si="4"/>
        <v>San Joaquin County</v>
      </c>
      <c r="H42">
        <f t="shared" si="5"/>
        <v>117</v>
      </c>
      <c r="J42" t="str">
        <f t="shared" si="2"/>
        <v>California</v>
      </c>
      <c r="K42" t="str">
        <f t="shared" si="2"/>
        <v>San Joaquin County</v>
      </c>
      <c r="L42">
        <f t="shared" si="3"/>
        <v>5441.2</v>
      </c>
    </row>
    <row r="43" spans="1:12" x14ac:dyDescent="0.2">
      <c r="A43" t="s">
        <v>19</v>
      </c>
      <c r="B43" t="s">
        <v>429</v>
      </c>
      <c r="C43" s="7">
        <v>13</v>
      </c>
      <c r="D43" s="7">
        <v>392.8</v>
      </c>
      <c r="F43" t="str">
        <f t="shared" si="1"/>
        <v>California</v>
      </c>
      <c r="G43" t="str">
        <f t="shared" si="4"/>
        <v>San Luis Obispo County</v>
      </c>
      <c r="H43">
        <f t="shared" si="5"/>
        <v>13</v>
      </c>
      <c r="J43" t="str">
        <f t="shared" si="2"/>
        <v>California</v>
      </c>
      <c r="K43" t="str">
        <f t="shared" si="2"/>
        <v>San Luis Obispo County</v>
      </c>
      <c r="L43">
        <f t="shared" si="3"/>
        <v>392.8</v>
      </c>
    </row>
    <row r="44" spans="1:12" x14ac:dyDescent="0.2">
      <c r="A44" t="s">
        <v>19</v>
      </c>
      <c r="B44" t="s">
        <v>72</v>
      </c>
      <c r="C44" s="7">
        <v>364</v>
      </c>
      <c r="D44" s="7">
        <v>16172.000000000005</v>
      </c>
      <c r="F44" t="str">
        <f t="shared" si="1"/>
        <v>California</v>
      </c>
      <c r="G44" t="str">
        <f t="shared" si="4"/>
        <v>San Mateo County</v>
      </c>
      <c r="H44">
        <f t="shared" si="5"/>
        <v>364</v>
      </c>
      <c r="J44" t="str">
        <f t="shared" si="2"/>
        <v>California</v>
      </c>
      <c r="K44" t="str">
        <f t="shared" si="2"/>
        <v>San Mateo County</v>
      </c>
      <c r="L44">
        <f t="shared" si="3"/>
        <v>16172.000000000005</v>
      </c>
    </row>
    <row r="45" spans="1:12" x14ac:dyDescent="0.2">
      <c r="A45" t="s">
        <v>19</v>
      </c>
      <c r="B45" t="s">
        <v>74</v>
      </c>
      <c r="C45" s="7">
        <v>95</v>
      </c>
      <c r="D45" s="7">
        <v>4334.9999999999991</v>
      </c>
      <c r="F45" t="str">
        <f t="shared" si="1"/>
        <v>California</v>
      </c>
      <c r="G45" t="str">
        <f t="shared" si="4"/>
        <v>Santa Barbara County</v>
      </c>
      <c r="H45">
        <f t="shared" si="5"/>
        <v>95</v>
      </c>
      <c r="J45" t="str">
        <f t="shared" si="2"/>
        <v>California</v>
      </c>
      <c r="K45" t="str">
        <f t="shared" si="2"/>
        <v>Santa Barbara County</v>
      </c>
      <c r="L45">
        <f t="shared" si="3"/>
        <v>4334.9999999999991</v>
      </c>
    </row>
    <row r="46" spans="1:12" x14ac:dyDescent="0.2">
      <c r="A46" t="s">
        <v>19</v>
      </c>
      <c r="B46" t="s">
        <v>77</v>
      </c>
      <c r="C46" s="7">
        <v>737</v>
      </c>
      <c r="D46" s="7">
        <v>37449.000000000007</v>
      </c>
      <c r="F46" t="str">
        <f t="shared" si="1"/>
        <v>California</v>
      </c>
      <c r="G46" t="str">
        <f t="shared" si="4"/>
        <v>Santa Clara County</v>
      </c>
      <c r="H46">
        <f t="shared" si="5"/>
        <v>737</v>
      </c>
      <c r="J46" t="str">
        <f t="shared" si="2"/>
        <v>California</v>
      </c>
      <c r="K46" t="str">
        <f t="shared" si="2"/>
        <v>Santa Clara County</v>
      </c>
      <c r="L46">
        <f t="shared" si="3"/>
        <v>37449.000000000007</v>
      </c>
    </row>
    <row r="47" spans="1:12" x14ac:dyDescent="0.2">
      <c r="A47" t="s">
        <v>19</v>
      </c>
      <c r="B47" t="s">
        <v>309</v>
      </c>
      <c r="C47" s="7">
        <v>39</v>
      </c>
      <c r="D47" s="7">
        <v>2447.5</v>
      </c>
      <c r="F47" t="str">
        <f t="shared" si="1"/>
        <v>California</v>
      </c>
      <c r="G47" t="str">
        <f t="shared" si="4"/>
        <v>Santa Cruz County</v>
      </c>
      <c r="H47">
        <f t="shared" si="5"/>
        <v>39</v>
      </c>
      <c r="J47" t="str">
        <f t="shared" si="2"/>
        <v>California</v>
      </c>
      <c r="K47" t="str">
        <f t="shared" si="2"/>
        <v>Santa Cruz County</v>
      </c>
      <c r="L47">
        <f t="shared" si="3"/>
        <v>2447.5</v>
      </c>
    </row>
    <row r="48" spans="1:12" x14ac:dyDescent="0.2">
      <c r="A48" t="s">
        <v>19</v>
      </c>
      <c r="B48" t="s">
        <v>1116</v>
      </c>
      <c r="C48" s="7">
        <v>56</v>
      </c>
      <c r="D48" s="7">
        <v>3391.1</v>
      </c>
      <c r="F48" t="str">
        <f t="shared" si="1"/>
        <v>California</v>
      </c>
      <c r="G48" t="str">
        <f t="shared" si="4"/>
        <v>Shasta County</v>
      </c>
      <c r="H48">
        <f t="shared" si="5"/>
        <v>56</v>
      </c>
      <c r="J48" t="str">
        <f t="shared" si="2"/>
        <v>California</v>
      </c>
      <c r="K48" t="str">
        <f t="shared" si="2"/>
        <v>Shasta County</v>
      </c>
      <c r="L48">
        <f t="shared" si="3"/>
        <v>3391.1</v>
      </c>
    </row>
    <row r="49" spans="1:12" x14ac:dyDescent="0.2">
      <c r="A49" t="s">
        <v>19</v>
      </c>
      <c r="B49" t="s">
        <v>700</v>
      </c>
      <c r="C49" s="7">
        <v>2</v>
      </c>
      <c r="D49" s="7">
        <v>30.8</v>
      </c>
      <c r="F49" t="str">
        <f t="shared" si="1"/>
        <v>California</v>
      </c>
      <c r="G49" t="str">
        <f t="shared" si="4"/>
        <v>Sierra County</v>
      </c>
      <c r="H49">
        <f t="shared" si="5"/>
        <v>2</v>
      </c>
      <c r="J49" t="str">
        <f t="shared" si="2"/>
        <v>California</v>
      </c>
      <c r="K49" t="str">
        <f t="shared" si="2"/>
        <v>Sierra County</v>
      </c>
      <c r="L49">
        <f t="shared" si="3"/>
        <v>30.8</v>
      </c>
    </row>
    <row r="50" spans="1:12" x14ac:dyDescent="0.2">
      <c r="A50" t="s">
        <v>19</v>
      </c>
      <c r="B50" t="s">
        <v>268</v>
      </c>
      <c r="C50" s="7">
        <v>8</v>
      </c>
      <c r="D50" s="7">
        <v>332.3</v>
      </c>
      <c r="F50" t="str">
        <f t="shared" si="1"/>
        <v>California</v>
      </c>
      <c r="G50" t="str">
        <f t="shared" si="4"/>
        <v>Siskiyou County</v>
      </c>
      <c r="H50">
        <f t="shared" si="5"/>
        <v>8</v>
      </c>
      <c r="J50" t="str">
        <f t="shared" si="2"/>
        <v>California</v>
      </c>
      <c r="K50" t="str">
        <f t="shared" si="2"/>
        <v>Siskiyou County</v>
      </c>
      <c r="L50">
        <f t="shared" si="3"/>
        <v>332.3</v>
      </c>
    </row>
    <row r="51" spans="1:12" x14ac:dyDescent="0.2">
      <c r="A51" t="s">
        <v>19</v>
      </c>
      <c r="B51" t="s">
        <v>377</v>
      </c>
      <c r="C51" s="7">
        <v>52</v>
      </c>
      <c r="D51" s="7">
        <v>3175.9999999999995</v>
      </c>
      <c r="F51" t="str">
        <f t="shared" si="1"/>
        <v>California</v>
      </c>
      <c r="G51" t="str">
        <f t="shared" si="4"/>
        <v>Solano County</v>
      </c>
      <c r="H51">
        <f t="shared" si="5"/>
        <v>52</v>
      </c>
      <c r="J51" t="str">
        <f t="shared" si="2"/>
        <v>California</v>
      </c>
      <c r="K51" t="str">
        <f t="shared" si="2"/>
        <v>Solano County</v>
      </c>
      <c r="L51">
        <f t="shared" si="3"/>
        <v>3175.9999999999995</v>
      </c>
    </row>
    <row r="52" spans="1:12" x14ac:dyDescent="0.2">
      <c r="A52" t="s">
        <v>19</v>
      </c>
      <c r="B52" t="s">
        <v>108</v>
      </c>
      <c r="C52" s="7">
        <v>295</v>
      </c>
      <c r="D52" s="7">
        <v>20939.600000000002</v>
      </c>
      <c r="F52" t="str">
        <f t="shared" si="1"/>
        <v>California</v>
      </c>
      <c r="G52" t="str">
        <f t="shared" si="4"/>
        <v>Sonoma County</v>
      </c>
      <c r="H52">
        <f t="shared" si="5"/>
        <v>295</v>
      </c>
      <c r="J52" t="str">
        <f t="shared" si="2"/>
        <v>California</v>
      </c>
      <c r="K52" t="str">
        <f t="shared" si="2"/>
        <v>Sonoma County</v>
      </c>
      <c r="L52">
        <f t="shared" si="3"/>
        <v>20939.600000000002</v>
      </c>
    </row>
    <row r="53" spans="1:12" x14ac:dyDescent="0.2">
      <c r="A53" t="s">
        <v>19</v>
      </c>
      <c r="B53" t="s">
        <v>110</v>
      </c>
      <c r="C53" s="7">
        <v>195</v>
      </c>
      <c r="D53" s="7">
        <v>10185.899999999996</v>
      </c>
      <c r="F53" t="str">
        <f t="shared" si="1"/>
        <v>California</v>
      </c>
      <c r="G53" t="str">
        <f t="shared" si="4"/>
        <v>Stanislaus County</v>
      </c>
      <c r="H53">
        <f t="shared" si="5"/>
        <v>195</v>
      </c>
      <c r="J53" t="str">
        <f t="shared" si="2"/>
        <v>California</v>
      </c>
      <c r="K53" t="str">
        <f t="shared" si="2"/>
        <v>Stanislaus County</v>
      </c>
      <c r="L53">
        <f t="shared" si="3"/>
        <v>10185.899999999996</v>
      </c>
    </row>
    <row r="54" spans="1:12" x14ac:dyDescent="0.2">
      <c r="A54" t="s">
        <v>19</v>
      </c>
      <c r="B54" t="s">
        <v>292</v>
      </c>
      <c r="C54" s="7">
        <v>20</v>
      </c>
      <c r="D54" s="7">
        <v>958.7</v>
      </c>
      <c r="F54" t="str">
        <f t="shared" si="1"/>
        <v>California</v>
      </c>
      <c r="G54" t="str">
        <f t="shared" si="4"/>
        <v>Sutter County</v>
      </c>
      <c r="H54">
        <f t="shared" si="5"/>
        <v>20</v>
      </c>
      <c r="J54" t="str">
        <f t="shared" si="2"/>
        <v>California</v>
      </c>
      <c r="K54" t="str">
        <f t="shared" si="2"/>
        <v>Sutter County</v>
      </c>
      <c r="L54">
        <f t="shared" si="3"/>
        <v>958.7</v>
      </c>
    </row>
    <row r="55" spans="1:12" x14ac:dyDescent="0.2">
      <c r="A55" t="s">
        <v>19</v>
      </c>
      <c r="B55" t="s">
        <v>79</v>
      </c>
      <c r="C55" s="7">
        <v>6</v>
      </c>
      <c r="D55" s="7">
        <v>323</v>
      </c>
      <c r="F55" t="str">
        <f t="shared" si="1"/>
        <v>California</v>
      </c>
      <c r="G55" t="str">
        <f t="shared" si="4"/>
        <v>Tehama County</v>
      </c>
      <c r="H55">
        <f t="shared" si="5"/>
        <v>6</v>
      </c>
      <c r="J55" t="str">
        <f t="shared" si="2"/>
        <v>California</v>
      </c>
      <c r="K55" t="str">
        <f t="shared" si="2"/>
        <v>Tehama County</v>
      </c>
      <c r="L55">
        <f t="shared" si="3"/>
        <v>323</v>
      </c>
    </row>
    <row r="56" spans="1:12" x14ac:dyDescent="0.2">
      <c r="A56" t="s">
        <v>19</v>
      </c>
      <c r="B56" t="s">
        <v>608</v>
      </c>
      <c r="C56" s="7">
        <v>5</v>
      </c>
      <c r="D56" s="7">
        <v>167.70000000000002</v>
      </c>
      <c r="F56" t="str">
        <f t="shared" si="1"/>
        <v>California</v>
      </c>
      <c r="G56" t="str">
        <f t="shared" si="4"/>
        <v>Trinity County</v>
      </c>
      <c r="H56">
        <f t="shared" si="5"/>
        <v>5</v>
      </c>
      <c r="J56" t="str">
        <f t="shared" si="2"/>
        <v>California</v>
      </c>
      <c r="K56" t="str">
        <f t="shared" si="2"/>
        <v>Trinity County</v>
      </c>
      <c r="L56">
        <f t="shared" si="3"/>
        <v>167.70000000000002</v>
      </c>
    </row>
    <row r="57" spans="1:12" x14ac:dyDescent="0.2">
      <c r="A57" t="s">
        <v>19</v>
      </c>
      <c r="B57" t="s">
        <v>113</v>
      </c>
      <c r="C57" s="7">
        <v>94</v>
      </c>
      <c r="D57" s="7">
        <v>3978.5</v>
      </c>
      <c r="F57" t="str">
        <f t="shared" si="1"/>
        <v>California</v>
      </c>
      <c r="G57" t="str">
        <f t="shared" si="4"/>
        <v>Tulare County</v>
      </c>
      <c r="H57">
        <f t="shared" si="5"/>
        <v>94</v>
      </c>
      <c r="J57" t="str">
        <f t="shared" si="2"/>
        <v>California</v>
      </c>
      <c r="K57" t="str">
        <f t="shared" si="2"/>
        <v>Tulare County</v>
      </c>
      <c r="L57">
        <f t="shared" si="3"/>
        <v>3978.5</v>
      </c>
    </row>
    <row r="58" spans="1:12" x14ac:dyDescent="0.2">
      <c r="A58" t="s">
        <v>19</v>
      </c>
      <c r="B58" t="s">
        <v>997</v>
      </c>
      <c r="C58" s="7">
        <v>28</v>
      </c>
      <c r="D58" s="7">
        <v>1405</v>
      </c>
      <c r="F58" t="str">
        <f t="shared" si="1"/>
        <v>California</v>
      </c>
      <c r="G58" t="str">
        <f t="shared" si="4"/>
        <v>Tuolumne County</v>
      </c>
      <c r="H58">
        <f t="shared" si="5"/>
        <v>28</v>
      </c>
      <c r="J58" t="str">
        <f t="shared" si="2"/>
        <v>California</v>
      </c>
      <c r="K58" t="str">
        <f t="shared" si="2"/>
        <v>Tuolumne County</v>
      </c>
      <c r="L58">
        <f t="shared" si="3"/>
        <v>1405</v>
      </c>
    </row>
    <row r="59" spans="1:12" x14ac:dyDescent="0.2">
      <c r="A59" t="s">
        <v>19</v>
      </c>
      <c r="B59" t="s">
        <v>82</v>
      </c>
      <c r="C59" s="7">
        <v>179</v>
      </c>
      <c r="D59" s="7">
        <v>9869.0999999999985</v>
      </c>
      <c r="F59" t="str">
        <f t="shared" si="1"/>
        <v>California</v>
      </c>
      <c r="G59" t="str">
        <f t="shared" si="4"/>
        <v>Ventura County</v>
      </c>
      <c r="H59">
        <f t="shared" si="5"/>
        <v>179</v>
      </c>
      <c r="J59" t="str">
        <f t="shared" si="2"/>
        <v>California</v>
      </c>
      <c r="K59" t="str">
        <f t="shared" si="2"/>
        <v>Ventura County</v>
      </c>
      <c r="L59">
        <f t="shared" si="3"/>
        <v>9869.0999999999985</v>
      </c>
    </row>
    <row r="60" spans="1:12" x14ac:dyDescent="0.2">
      <c r="A60" t="s">
        <v>19</v>
      </c>
      <c r="B60" t="s">
        <v>243</v>
      </c>
      <c r="C60" s="7">
        <v>15</v>
      </c>
      <c r="D60" s="7">
        <v>615.29999999999995</v>
      </c>
      <c r="F60" t="str">
        <f t="shared" si="1"/>
        <v>California</v>
      </c>
      <c r="G60" t="str">
        <f t="shared" si="4"/>
        <v>Yolo County</v>
      </c>
      <c r="H60">
        <f t="shared" si="5"/>
        <v>15</v>
      </c>
      <c r="J60" t="str">
        <f t="shared" si="2"/>
        <v>California</v>
      </c>
      <c r="K60" t="str">
        <f t="shared" si="2"/>
        <v>Yolo County</v>
      </c>
      <c r="L60">
        <f t="shared" si="3"/>
        <v>615.29999999999995</v>
      </c>
    </row>
    <row r="61" spans="1:12" x14ac:dyDescent="0.2">
      <c r="A61" t="s">
        <v>19</v>
      </c>
      <c r="B61" t="s">
        <v>1911</v>
      </c>
      <c r="C61" s="7">
        <v>3</v>
      </c>
      <c r="D61" s="7">
        <v>285</v>
      </c>
      <c r="F61" t="str">
        <f t="shared" si="1"/>
        <v>California</v>
      </c>
      <c r="G61" t="str">
        <f t="shared" si="4"/>
        <v>Yuba County</v>
      </c>
      <c r="H61">
        <f t="shared" si="5"/>
        <v>3</v>
      </c>
      <c r="J61" t="str">
        <f t="shared" si="2"/>
        <v>California</v>
      </c>
      <c r="K61" t="str">
        <f t="shared" si="2"/>
        <v>Yuba County</v>
      </c>
      <c r="L61">
        <f t="shared" si="3"/>
        <v>285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6"/>
  <sheetViews>
    <sheetView topLeftCell="A11" zoomScale="69" workbookViewId="0">
      <selection activeCell="B23" sqref="B23"/>
    </sheetView>
  </sheetViews>
  <sheetFormatPr defaultRowHeight="14.25" x14ac:dyDescent="0.2"/>
  <cols>
    <col min="1" max="1" width="15.875" customWidth="1"/>
    <col min="2" max="2" width="16.125" customWidth="1"/>
    <col min="3" max="4" width="5.375" customWidth="1"/>
    <col min="5" max="5" width="6.625" customWidth="1"/>
    <col min="6" max="6" width="5.375" customWidth="1"/>
    <col min="7" max="7" width="13.375" bestFit="1" customWidth="1"/>
    <col min="8" max="32" width="9.25" bestFit="1" customWidth="1"/>
    <col min="33" max="89" width="9.5" bestFit="1" customWidth="1"/>
    <col min="90" max="90" width="11.375" bestFit="1" customWidth="1"/>
  </cols>
  <sheetData>
    <row r="3" spans="1:2" x14ac:dyDescent="0.2">
      <c r="A3" s="5" t="s">
        <v>2518</v>
      </c>
      <c r="B3" t="s">
        <v>2521</v>
      </c>
    </row>
    <row r="4" spans="1:2" x14ac:dyDescent="0.2">
      <c r="A4" s="6">
        <v>0</v>
      </c>
      <c r="B4" s="7">
        <v>175</v>
      </c>
    </row>
    <row r="5" spans="1:2" x14ac:dyDescent="0.2">
      <c r="A5" s="6">
        <v>1</v>
      </c>
      <c r="B5" s="7">
        <v>888</v>
      </c>
    </row>
    <row r="6" spans="1:2" x14ac:dyDescent="0.2">
      <c r="A6" s="6">
        <v>2</v>
      </c>
      <c r="B6" s="7">
        <v>538</v>
      </c>
    </row>
    <row r="7" spans="1:2" x14ac:dyDescent="0.2">
      <c r="A7" s="6">
        <v>3</v>
      </c>
      <c r="B7" s="7">
        <v>344</v>
      </c>
    </row>
    <row r="8" spans="1:2" x14ac:dyDescent="0.2">
      <c r="A8" s="6">
        <v>4</v>
      </c>
      <c r="B8" s="7">
        <v>200</v>
      </c>
    </row>
    <row r="9" spans="1:2" x14ac:dyDescent="0.2">
      <c r="A9" s="6">
        <v>5</v>
      </c>
      <c r="B9" s="7">
        <v>94</v>
      </c>
    </row>
    <row r="10" spans="1:2" x14ac:dyDescent="0.2">
      <c r="A10" s="6">
        <v>6</v>
      </c>
      <c r="B10" s="7">
        <v>51</v>
      </c>
    </row>
    <row r="11" spans="1:2" x14ac:dyDescent="0.2">
      <c r="A11" s="6">
        <v>7</v>
      </c>
      <c r="B11" s="7">
        <v>32</v>
      </c>
    </row>
    <row r="12" spans="1:2" x14ac:dyDescent="0.2">
      <c r="A12" s="6">
        <v>8</v>
      </c>
      <c r="B12" s="7">
        <v>23</v>
      </c>
    </row>
    <row r="13" spans="1:2" x14ac:dyDescent="0.2">
      <c r="A13" s="6">
        <v>9</v>
      </c>
      <c r="B13" s="7">
        <v>9</v>
      </c>
    </row>
    <row r="14" spans="1:2" x14ac:dyDescent="0.2">
      <c r="A14" s="6">
        <v>10</v>
      </c>
      <c r="B14" s="7">
        <v>8</v>
      </c>
    </row>
    <row r="15" spans="1:2" x14ac:dyDescent="0.2">
      <c r="A15" s="6">
        <v>11</v>
      </c>
      <c r="B15" s="7">
        <v>11</v>
      </c>
    </row>
    <row r="16" spans="1:2" x14ac:dyDescent="0.2">
      <c r="A16" s="6">
        <v>12</v>
      </c>
      <c r="B16" s="7">
        <v>4</v>
      </c>
    </row>
    <row r="17" spans="1:7" x14ac:dyDescent="0.2">
      <c r="A17" s="6">
        <v>13</v>
      </c>
      <c r="B17" s="7">
        <v>10</v>
      </c>
    </row>
    <row r="18" spans="1:7" x14ac:dyDescent="0.2">
      <c r="A18" s="6">
        <v>14</v>
      </c>
      <c r="B18" s="7">
        <v>13</v>
      </c>
    </row>
    <row r="19" spans="1:7" x14ac:dyDescent="0.2">
      <c r="A19" s="6" t="s">
        <v>2519</v>
      </c>
      <c r="B19" s="7">
        <v>2400</v>
      </c>
    </row>
    <row r="21" spans="1:7" x14ac:dyDescent="0.2">
      <c r="A21" s="5" t="s">
        <v>2521</v>
      </c>
    </row>
    <row r="22" spans="1:7" x14ac:dyDescent="0.2">
      <c r="B22">
        <v>1</v>
      </c>
      <c r="C22">
        <v>2</v>
      </c>
      <c r="D22">
        <v>3</v>
      </c>
      <c r="E22">
        <v>4</v>
      </c>
      <c r="F22">
        <v>5</v>
      </c>
      <c r="G22" t="s">
        <v>2519</v>
      </c>
    </row>
    <row r="23" spans="1:7" x14ac:dyDescent="0.2">
      <c r="A23" s="12" t="s">
        <v>2545</v>
      </c>
      <c r="B23" s="7">
        <v>7</v>
      </c>
      <c r="C23" s="7">
        <v>37</v>
      </c>
      <c r="D23" s="7">
        <v>150</v>
      </c>
      <c r="E23" s="7">
        <v>312</v>
      </c>
      <c r="F23" s="7">
        <v>224</v>
      </c>
      <c r="G23" s="7">
        <v>730</v>
      </c>
    </row>
    <row r="24" spans="1:7" x14ac:dyDescent="0.2">
      <c r="A24" s="12" t="s">
        <v>2546</v>
      </c>
      <c r="B24" s="7">
        <v>8</v>
      </c>
      <c r="C24" s="7">
        <v>51</v>
      </c>
      <c r="D24" s="7">
        <v>182</v>
      </c>
      <c r="E24" s="7">
        <v>373</v>
      </c>
      <c r="F24" s="7">
        <v>247</v>
      </c>
      <c r="G24" s="7">
        <v>861</v>
      </c>
    </row>
    <row r="25" spans="1:7" x14ac:dyDescent="0.2">
      <c r="A25" s="12" t="s">
        <v>2547</v>
      </c>
      <c r="B25" s="7">
        <v>6</v>
      </c>
      <c r="C25" s="7">
        <v>39</v>
      </c>
      <c r="D25" s="7">
        <v>163</v>
      </c>
      <c r="E25" s="7">
        <v>351</v>
      </c>
      <c r="F25" s="7">
        <v>250</v>
      </c>
      <c r="G25" s="7">
        <v>809</v>
      </c>
    </row>
    <row r="26" spans="1:7" x14ac:dyDescent="0.2">
      <c r="A26" s="12" t="s">
        <v>2519</v>
      </c>
      <c r="B26" s="7">
        <v>21</v>
      </c>
      <c r="C26" s="7">
        <v>127</v>
      </c>
      <c r="D26" s="7">
        <v>495</v>
      </c>
      <c r="E26" s="7">
        <v>1036</v>
      </c>
      <c r="F26" s="7">
        <v>721</v>
      </c>
      <c r="G26" s="7">
        <v>2400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9"/>
  <sheetViews>
    <sheetView workbookViewId="0">
      <selection activeCell="D23" sqref="D23"/>
    </sheetView>
  </sheetViews>
  <sheetFormatPr defaultRowHeight="14.25" x14ac:dyDescent="0.2"/>
  <cols>
    <col min="1" max="1" width="13.125" customWidth="1"/>
    <col min="2" max="2" width="21.375" bestFit="1" customWidth="1"/>
    <col min="3" max="3" width="14.25" customWidth="1"/>
    <col min="4" max="4" width="15" bestFit="1" customWidth="1"/>
  </cols>
  <sheetData>
    <row r="3" spans="1:3" x14ac:dyDescent="0.2">
      <c r="A3" s="5" t="s">
        <v>2518</v>
      </c>
      <c r="B3" t="s">
        <v>2548</v>
      </c>
      <c r="C3" t="s">
        <v>2520</v>
      </c>
    </row>
    <row r="4" spans="1:3" x14ac:dyDescent="0.2">
      <c r="A4" s="6">
        <v>0</v>
      </c>
      <c r="B4" s="7">
        <v>0</v>
      </c>
      <c r="C4" s="7">
        <v>52535.200000000012</v>
      </c>
    </row>
    <row r="5" spans="1:3" x14ac:dyDescent="0.2">
      <c r="A5" s="6">
        <v>1</v>
      </c>
      <c r="B5" s="7">
        <v>888</v>
      </c>
      <c r="C5" s="7">
        <v>240164.2999999999</v>
      </c>
    </row>
    <row r="6" spans="1:3" x14ac:dyDescent="0.2">
      <c r="A6" s="6">
        <v>2</v>
      </c>
      <c r="B6" s="7">
        <v>1076</v>
      </c>
      <c r="C6" s="7">
        <v>152571.70000000001</v>
      </c>
    </row>
    <row r="7" spans="1:3" x14ac:dyDescent="0.2">
      <c r="A7" s="6">
        <v>3</v>
      </c>
      <c r="B7" s="7">
        <v>1032</v>
      </c>
      <c r="C7" s="7">
        <v>86317.199999999983</v>
      </c>
    </row>
    <row r="8" spans="1:3" x14ac:dyDescent="0.2">
      <c r="A8" s="6">
        <v>4</v>
      </c>
      <c r="B8" s="7">
        <v>800</v>
      </c>
      <c r="C8" s="7">
        <v>47295.600000000006</v>
      </c>
    </row>
    <row r="9" spans="1:3" x14ac:dyDescent="0.2">
      <c r="A9" s="6">
        <v>5</v>
      </c>
      <c r="B9" s="7">
        <v>470</v>
      </c>
      <c r="C9" s="7">
        <v>28644.7</v>
      </c>
    </row>
    <row r="10" spans="1:3" x14ac:dyDescent="0.2">
      <c r="A10" s="6">
        <v>6</v>
      </c>
      <c r="B10" s="7">
        <v>306</v>
      </c>
      <c r="C10" s="7">
        <v>14032.499999999998</v>
      </c>
    </row>
    <row r="11" spans="1:3" x14ac:dyDescent="0.2">
      <c r="A11" s="6">
        <v>7</v>
      </c>
      <c r="B11" s="7">
        <v>224</v>
      </c>
      <c r="C11" s="7">
        <v>8816.6000000000022</v>
      </c>
    </row>
    <row r="12" spans="1:3" x14ac:dyDescent="0.2">
      <c r="A12" s="6">
        <v>8</v>
      </c>
      <c r="B12" s="7">
        <v>184</v>
      </c>
      <c r="C12" s="7">
        <v>3931.2</v>
      </c>
    </row>
    <row r="13" spans="1:3" x14ac:dyDescent="0.2">
      <c r="A13" s="6">
        <v>9</v>
      </c>
      <c r="B13" s="7">
        <v>81</v>
      </c>
      <c r="C13" s="7">
        <v>1462.6999999999998</v>
      </c>
    </row>
    <row r="14" spans="1:3" x14ac:dyDescent="0.2">
      <c r="A14" s="6">
        <v>10</v>
      </c>
      <c r="B14" s="7">
        <v>80</v>
      </c>
      <c r="C14" s="7">
        <v>2279.7000000000003</v>
      </c>
    </row>
    <row r="15" spans="1:3" x14ac:dyDescent="0.2">
      <c r="A15" s="6">
        <v>11</v>
      </c>
      <c r="B15" s="7">
        <v>121</v>
      </c>
      <c r="C15" s="7">
        <v>2907.1</v>
      </c>
    </row>
    <row r="16" spans="1:3" x14ac:dyDescent="0.2">
      <c r="A16" s="6">
        <v>12</v>
      </c>
      <c r="B16" s="7">
        <v>48</v>
      </c>
      <c r="C16" s="7">
        <v>537.79999999999995</v>
      </c>
    </row>
    <row r="17" spans="1:3" x14ac:dyDescent="0.2">
      <c r="A17" s="6">
        <v>13</v>
      </c>
      <c r="B17" s="7">
        <v>130</v>
      </c>
      <c r="C17" s="7">
        <v>3084.3999999999996</v>
      </c>
    </row>
    <row r="18" spans="1:3" x14ac:dyDescent="0.2">
      <c r="A18" s="6">
        <v>14</v>
      </c>
      <c r="B18" s="7">
        <v>182</v>
      </c>
      <c r="C18" s="7">
        <v>4439.1000000000004</v>
      </c>
    </row>
    <row r="19" spans="1:3" x14ac:dyDescent="0.2">
      <c r="A19" s="6" t="s">
        <v>2519</v>
      </c>
      <c r="B19" s="7">
        <v>5622</v>
      </c>
      <c r="C19" s="7">
        <v>649019.7999999997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zoomScale="61" workbookViewId="0">
      <selection activeCell="S1" sqref="S1"/>
    </sheetView>
  </sheetViews>
  <sheetFormatPr defaultRowHeight="14.25" x14ac:dyDescent="0.2"/>
  <cols>
    <col min="2" max="2" width="19.125" bestFit="1" customWidth="1"/>
    <col min="3" max="3" width="8.125" bestFit="1" customWidth="1"/>
    <col min="4" max="4" width="9.125" bestFit="1" customWidth="1"/>
    <col min="5" max="5" width="7.5" bestFit="1" customWidth="1"/>
    <col min="6" max="6" width="13.25" bestFit="1" customWidth="1"/>
    <col min="7" max="7" width="9.5" bestFit="1" customWidth="1"/>
    <col min="8" max="8" width="15.625" bestFit="1" customWidth="1"/>
    <col min="9" max="9" width="14" bestFit="1" customWidth="1"/>
    <col min="10" max="10" width="7.75" bestFit="1" customWidth="1"/>
    <col min="11" max="11" width="8.75" bestFit="1" customWidth="1"/>
    <col min="12" max="12" width="19.625" bestFit="1" customWidth="1"/>
    <col min="13" max="13" width="13.375" bestFit="1" customWidth="1"/>
    <col min="14" max="14" width="9.375" bestFit="1" customWidth="1"/>
    <col min="15" max="15" width="12.125" bestFit="1" customWidth="1"/>
  </cols>
  <sheetData>
    <row r="1" spans="1:15" x14ac:dyDescent="0.2">
      <c r="A1" t="s">
        <v>0</v>
      </c>
      <c r="B1" t="s">
        <v>1</v>
      </c>
      <c r="C1" t="s">
        <v>2</v>
      </c>
      <c r="D1" t="s">
        <v>3</v>
      </c>
      <c r="E1" t="s">
        <v>4</v>
      </c>
      <c r="F1" t="s">
        <v>5</v>
      </c>
      <c r="G1" t="s">
        <v>6</v>
      </c>
      <c r="H1" t="s">
        <v>7</v>
      </c>
      <c r="I1" t="s">
        <v>8</v>
      </c>
      <c r="J1" t="s">
        <v>9</v>
      </c>
      <c r="K1" t="s">
        <v>10</v>
      </c>
      <c r="L1" t="s">
        <v>11</v>
      </c>
      <c r="M1" s="2" t="s">
        <v>12</v>
      </c>
      <c r="N1" s="2" t="s">
        <v>13</v>
      </c>
      <c r="O1" s="2" t="s">
        <v>14</v>
      </c>
    </row>
    <row r="2" spans="1:15" x14ac:dyDescent="0.2">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8"/>
  <sheetViews>
    <sheetView workbookViewId="0">
      <selection activeCell="F17" sqref="F17"/>
    </sheetView>
  </sheetViews>
  <sheetFormatPr defaultRowHeight="14.25" x14ac:dyDescent="0.2"/>
  <cols>
    <col min="1" max="1" width="3.625" customWidth="1"/>
    <col min="2" max="2" width="52.75" customWidth="1"/>
  </cols>
  <sheetData>
    <row r="2" spans="2:2" ht="15" x14ac:dyDescent="0.25">
      <c r="B2" s="3" t="s">
        <v>2503</v>
      </c>
    </row>
    <row r="3" spans="2:2" x14ac:dyDescent="0.2">
      <c r="B3" s="4" t="s">
        <v>2504</v>
      </c>
    </row>
    <row r="4" spans="2:2" x14ac:dyDescent="0.2">
      <c r="B4" s="4" t="s">
        <v>2505</v>
      </c>
    </row>
    <row r="5" spans="2:2" x14ac:dyDescent="0.2">
      <c r="B5" s="4" t="s">
        <v>2506</v>
      </c>
    </row>
    <row r="6" spans="2:2" x14ac:dyDescent="0.2">
      <c r="B6" s="4" t="s">
        <v>2507</v>
      </c>
    </row>
    <row r="7" spans="2:2" x14ac:dyDescent="0.2">
      <c r="B7" s="4" t="s">
        <v>2508</v>
      </c>
    </row>
    <row r="10" spans="2:2" ht="15" x14ac:dyDescent="0.25">
      <c r="B10" s="3" t="s">
        <v>2509</v>
      </c>
    </row>
    <row r="11" spans="2:2" x14ac:dyDescent="0.2">
      <c r="B11" t="s">
        <v>2510</v>
      </c>
    </row>
    <row r="12" spans="2:2" x14ac:dyDescent="0.2">
      <c r="B12" t="s">
        <v>2511</v>
      </c>
    </row>
    <row r="13" spans="2:2" x14ac:dyDescent="0.2">
      <c r="B13" t="s">
        <v>2512</v>
      </c>
    </row>
    <row r="14" spans="2:2" x14ac:dyDescent="0.2">
      <c r="B14" t="s">
        <v>2513</v>
      </c>
    </row>
    <row r="15" spans="2:2" x14ac:dyDescent="0.2">
      <c r="B15" t="s">
        <v>2514</v>
      </c>
    </row>
    <row r="16" spans="2:2" x14ac:dyDescent="0.2">
      <c r="B16" t="s">
        <v>2515</v>
      </c>
    </row>
    <row r="17" spans="2:2" x14ac:dyDescent="0.2">
      <c r="B17" t="s">
        <v>2516</v>
      </c>
    </row>
    <row r="18" spans="2:2" x14ac:dyDescent="0.2">
      <c r="B18" t="s">
        <v>2517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36" zoomScaleNormal="44" workbookViewId="0">
      <selection activeCell="AN36" sqref="AN36"/>
    </sheetView>
  </sheetViews>
  <sheetFormatPr defaultRowHeight="14.25" x14ac:dyDescent="0.2"/>
  <cols>
    <col min="1" max="1" width="3.375" customWidth="1"/>
    <col min="2" max="2" width="22.25" customWidth="1"/>
    <col min="3" max="4" width="3.375" customWidth="1"/>
    <col min="26" max="26" width="3.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Sheet6</vt:lpstr>
      <vt:lpstr>Sheet7</vt:lpstr>
      <vt:lpstr>Data</vt:lpstr>
      <vt:lpstr>Questions &amp; KPIs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kataksha</dc:creator>
  <cp:lastModifiedBy>Kata Sha</cp:lastModifiedBy>
  <dcterms:created xsi:type="dcterms:W3CDTF">2025-06-13T02:42:26Z</dcterms:created>
  <dcterms:modified xsi:type="dcterms:W3CDTF">2026-04-19T08:53:28Z</dcterms:modified>
</cp:coreProperties>
</file>